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Dashboard" sheetId="1" r:id="rId5"/>
    <sheet state="visible" name="Customer Data" sheetId="2" r:id="rId6"/>
  </sheets>
  <definedNames/>
  <calcPr/>
</workbook>
</file>

<file path=xl/sharedStrings.xml><?xml version="1.0" encoding="utf-8"?>
<sst xmlns="http://schemas.openxmlformats.org/spreadsheetml/2006/main" count="146" uniqueCount="67">
  <si>
    <t>CustomerID</t>
  </si>
  <si>
    <t>Gender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</si>
  <si>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</si>
  <si>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</si>
  <si>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</si>
  <si>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</si>
  <si>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</si>
  <si>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</si>
  <si>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</si>
  <si>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</si>
  <si>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Churn</t>
  </si>
  <si>
    <t>Tenure Bracket</t>
  </si>
  <si>
    <t>Churn Flag</t>
  </si>
  <si>
    <t>Annualized Revenue</t>
  </si>
  <si>
    <t>CUST-1001</t>
  </si>
  <si>
    <t>Female</t>
  </si>
  <si>
    <t>Basic</t>
  </si>
  <si>
    <t>Business KPI Dashboard: Customer Churn Analysis</t>
  </si>
  <si>
    <t>Month-to-Month</t>
  </si>
  <si>
    <t>Credit Card</t>
  </si>
  <si>
    <t>Yes</t>
  </si>
  <si>
    <t>Executive Insights</t>
  </si>
  <si>
    <t>Total Customers</t>
  </si>
  <si>
    <t>Contract Type</t>
  </si>
  <si>
    <t>Total Count</t>
  </si>
  <si>
    <t>Churned Count</t>
  </si>
  <si>
    <t>Revenue at Risk</t>
  </si>
  <si>
    <t>100% of churn occurs in Month-to-Month contracts (7/7 churned customers). Annual and multi-year contracts have 0% churn.</t>
  </si>
  <si>
    <t>Churned Customers</t>
  </si>
  <si>
    <t>CUST-1002</t>
  </si>
  <si>
    <t>Male</t>
  </si>
  <si>
    <t>Pro</t>
  </si>
  <si>
    <t>One Year</t>
  </si>
  <si>
    <t>Bank Transfer</t>
  </si>
  <si>
    <t>No</t>
  </si>
  <si>
    <t>CUST-1003</t>
  </si>
  <si>
    <t>UPI</t>
  </si>
  <si>
    <t>CUST-1004</t>
  </si>
  <si>
    <t>Enterprise</t>
  </si>
  <si>
    <t>Two Year</t>
  </si>
  <si>
    <t>CUST-1005</t>
  </si>
  <si>
    <t>Debit Card</t>
  </si>
  <si>
    <t>CUST-1006</t>
  </si>
  <si>
    <t>CUST-1007</t>
  </si>
  <si>
    <t>CUST-1008</t>
  </si>
  <si>
    <t>CUST-1009</t>
  </si>
  <si>
    <t>CUST-1010</t>
  </si>
  <si>
    <t>Retained Customers</t>
  </si>
  <si>
    <t>CUST-1011</t>
  </si>
  <si>
    <t>CUST-1012</t>
  </si>
  <si>
    <t>CUST-1013</t>
  </si>
  <si>
    <t>CUST-1014</t>
  </si>
  <si>
    <t>CUST-1015</t>
  </si>
  <si>
    <t>High support ticket volume (3+ tickets) strongly correlates with 100% churn probability.</t>
  </si>
  <si>
    <t>Churn Rate %</t>
  </si>
  <si>
    <t>Retention Rate %</t>
  </si>
  <si>
    <t>Early tenure vulnerability: Average tenure of churned customers is only 7.0 months vs. 29.1 months for retained customers.</t>
  </si>
  <si>
    <t>Total Monthly Revenue</t>
  </si>
  <si>
    <t>Payment Method</t>
  </si>
  <si>
    <t>Monthly Revenue at Risk</t>
  </si>
  <si>
    <t>Payment method risk: UPI (75% churn) and Debit Card (100% churn) exhibit the highest churn rates, whereas Bank Transfer has 0% churn.</t>
  </si>
  <si>
    <t>Revenue at Risk %</t>
  </si>
  <si>
    <t>Average Tenure (Months)</t>
  </si>
  <si>
    <t>Avg Tenure (Churned)</t>
  </si>
  <si>
    <t>Avg Tenure (Retained)</t>
  </si>
  <si>
    <t>Subscription Type</t>
  </si>
  <si>
    <t>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</si>
</sst>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A1B1F"/>
      <name val="Roboto"/>
    </font>
    <font>
      <b/>
      <sz val="11.0"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1" fillId="0" fontId="2" numFmtId="164" xfId="0" applyBorder="1" applyFont="1" applyNumberFormat="1"/>
    <xf borderId="1" fillId="0" fontId="2" numFmtId="10" xfId="0" applyBorder="1" applyFont="1" applyNumberForma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</dxfs>
  <tableStyles count="5">
    <tableStyle count="2" pivot="0" name="KPI Dashboard-style">
      <tableStyleElement dxfId="1" type="firstRowStripe"/>
      <tableStyleElement dxfId="2" type="secondRowStripe"/>
    </tableStyle>
    <tableStyle count="3" pivot="0" name="KPI Dashboard-style 2">
      <tableStyleElement dxfId="3" type="headerRow"/>
      <tableStyleElement dxfId="1" type="firstRowStripe"/>
      <tableStyleElement dxfId="2" type="secondRowStripe"/>
    </tableStyle>
    <tableStyle count="3" pivot="0" name="KPI Dashboard-style 3">
      <tableStyleElement dxfId="3" type="headerRow"/>
      <tableStyleElement dxfId="1" type="firstRowStripe"/>
      <tableStyleElement dxfId="2" type="secondRowStripe"/>
    </tableStyle>
    <tableStyle count="3" pivot="0" name="KPI Dashboard-style 4">
      <tableStyleElement dxfId="3" type="headerRow"/>
      <tableStyleElement dxfId="1" type="firstRowStripe"/>
      <tableStyleElement dxfId="2" type="secondRowStripe"/>
    </tableStyle>
    <tableStyle count="3" pivot="0" name="KPI Dashboard-style 5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C13" displayName="Table_1" name="Table_1" id="1">
  <tableColumns count="2">
    <tableColumn name="Column1" id="1"/>
    <tableColumn name="Column2" id="2"/>
  </tableColumns>
  <tableStyleInfo name="KPI Dashboard-style" showColumnStripes="0" showFirstColumn="1" showLastColumn="1" showRowStripes="1"/>
</table>
</file>

<file path=xl/tables/table2.xml><?xml version="1.0" encoding="utf-8"?>
<table xmlns="http://schemas.openxmlformats.org/spreadsheetml/2006/main" ref="E3:H6" displayName="Table_2" name="Table_2" id="2">
  <tableColumns count="4">
    <tableColumn name="Contract Type" id="1"/>
    <tableColumn name="Total Count" id="2"/>
    <tableColumn name="Churned Count" id="3"/>
    <tableColumn name="Revenue at Risk" id="4"/>
  </tableColumns>
  <tableStyleInfo name="KPI Dashboard-style 2" showColumnStripes="0" showFirstColumn="1" showLastColumn="1" showRowStripes="1"/>
</table>
</file>

<file path=xl/tables/table3.xml><?xml version="1.0" encoding="utf-8"?>
<table xmlns="http://schemas.openxmlformats.org/spreadsheetml/2006/main" ref="E8:H12" displayName="Table_3" name="Table_3" id="3">
  <tableColumns count="4">
    <tableColumn name="Payment Method" id="1"/>
    <tableColumn name="Total Count" id="2"/>
    <tableColumn name="Churned Count" id="3"/>
    <tableColumn name="Revenue at Risk" id="4"/>
  </tableColumns>
  <tableStyleInfo name="KPI Dashboard-style 3" showColumnStripes="0" showFirstColumn="1" showLastColumn="1" showRowStripes="1"/>
</table>
</file>

<file path=xl/tables/table4.xml><?xml version="1.0" encoding="utf-8"?>
<table xmlns="http://schemas.openxmlformats.org/spreadsheetml/2006/main" ref="E14:H17" displayName="Table_4" name="Table_4" id="4">
  <tableColumns count="4">
    <tableColumn name="Subscription Type" id="1"/>
    <tableColumn name="Total Count" id="2"/>
    <tableColumn name="Churned Count" id="3"/>
    <tableColumn name="Revenue at Risk" id="4"/>
  </tableColumns>
  <tableStyleInfo name="KPI Dashboard-style 4" showColumnStripes="0" showFirstColumn="1" showLastColumn="1" showRowStripes="1"/>
</table>
</file>

<file path=xl/tables/table5.xml><?xml version="1.0" encoding="utf-8"?>
<table xmlns="http://schemas.openxmlformats.org/spreadsheetml/2006/main" ref="E19:G26" displayName="Table_5" name="Table_5" id="5">
  <tableColumns count="3">
    <tableColumn name="Tickets" id="1"/>
    <tableColumn name="Total Count" id="2"/>
    <tableColumn name="Churned Count" id="3"/>
  </tableColumns>
  <tableStyleInfo name="KPI Dashboard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8.13"/>
    <col customWidth="1" min="5" max="5" width="15.38"/>
    <col customWidth="1" min="6" max="6" width="10.13"/>
    <col customWidth="1" min="7" max="7" width="13.0"/>
    <col customWidth="1" min="8" max="8" width="13.75"/>
    <col customWidth="1" min="10" max="10" width="99.38"/>
  </cols>
  <sheetData>
    <row r="1">
      <c r="A1" s="2"/>
      <c r="B1" s="4" t="s">
        <v>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4" t="s">
        <v>21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22</v>
      </c>
      <c r="C3" s="7">
        <f>COUNTA('Customer Data'!A2:A16)</f>
        <v>15</v>
      </c>
      <c r="D3" s="2"/>
      <c r="E3" s="8" t="s">
        <v>23</v>
      </c>
      <c r="F3" s="8" t="s">
        <v>24</v>
      </c>
      <c r="G3" s="8" t="s">
        <v>25</v>
      </c>
      <c r="H3" s="8" t="s">
        <v>26</v>
      </c>
      <c r="I3" s="2"/>
      <c r="J3" s="9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28</v>
      </c>
      <c r="C4" s="7">
        <f>COUNTIF('Customer Data'!K2:K16, "Yes")</f>
        <v>7</v>
      </c>
      <c r="D4" s="2"/>
      <c r="E4" s="5" t="s">
        <v>18</v>
      </c>
      <c r="F4" s="7">
        <f>COUNTIF('Customer Data'!H2:H16, E4)</f>
        <v>7</v>
      </c>
      <c r="G4" s="7">
        <f>COUNTIFS('Customer Data'!H2:H16, E4, 'Customer Data'!K2:K16, "Yes")</f>
        <v>7</v>
      </c>
      <c r="H4" s="11">
        <f>SUMIFS('Customer Data'!F2:F16, 'Customer Data'!H2:H16, E4, 'Customer Data'!K2:K16, "Yes")</f>
        <v>409.93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47</v>
      </c>
      <c r="C5" s="7">
        <f>COUNTIF('Customer Data'!K2:K16, "No")</f>
        <v>8</v>
      </c>
      <c r="D5" s="2"/>
      <c r="E5" s="5" t="s">
        <v>32</v>
      </c>
      <c r="F5" s="7">
        <f>COUNTIF('Customer Data'!H2:H16, E5)</f>
        <v>4</v>
      </c>
      <c r="G5" s="7">
        <f>COUNTIFS('Customer Data'!H2:H16, E5, 'Customer Data'!K2:K16, "Yes")</f>
        <v>0</v>
      </c>
      <c r="H5" s="11">
        <f>SUMIFS('Customer Data'!F2:F16, 'Customer Data'!H2:H16, E5, 'Customer Data'!K2:K16, "Yes")</f>
        <v>0</v>
      </c>
      <c r="I5" s="2"/>
      <c r="J5" s="9" t="s">
        <v>53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54</v>
      </c>
      <c r="C6" s="12">
        <f>COUNTIF('Customer Data'!K2:K16, "Yes")/COUNTA('Customer Data'!A2:A16)</f>
        <v>0.4666666667</v>
      </c>
      <c r="D6" s="2"/>
      <c r="E6" s="5" t="s">
        <v>39</v>
      </c>
      <c r="F6" s="7">
        <f>COUNTIF('Customer Data'!H2:H16, E6)</f>
        <v>4</v>
      </c>
      <c r="G6" s="7">
        <f>COUNTIFS('Customer Data'!H2:H16, E6, 'Customer Data'!K2:K16, "Yes")</f>
        <v>0</v>
      </c>
      <c r="H6" s="11">
        <f>SUMIFS('Customer Data'!F2:F16, 'Customer Data'!H2:H16, E6, 'Customer Data'!K2:K16, "Yes")</f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55</v>
      </c>
      <c r="C7" s="12">
        <f>COUNTIF('Customer Data'!K2:K16, "No")/COUNTA('Customer Data'!A2:A16)</f>
        <v>0.5333333333</v>
      </c>
      <c r="D7" s="2"/>
      <c r="E7" s="2"/>
      <c r="F7" s="2"/>
      <c r="G7" s="2"/>
      <c r="H7" s="2"/>
      <c r="I7" s="2"/>
      <c r="J7" s="9" t="s">
        <v>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 t="s">
        <v>57</v>
      </c>
      <c r="C8" s="11">
        <f>SUM('Customer Data'!F2:F16)</f>
        <v>1269.85</v>
      </c>
      <c r="D8" s="2"/>
      <c r="E8" s="8" t="s">
        <v>58</v>
      </c>
      <c r="F8" s="8" t="s">
        <v>24</v>
      </c>
      <c r="G8" s="8" t="s">
        <v>25</v>
      </c>
      <c r="H8" s="8" t="s">
        <v>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5" t="s">
        <v>59</v>
      </c>
      <c r="C9" s="11">
        <f>SUMIF('Customer Data'!K2:K16, "Yes", 'Customer Data'!F2:F16)</f>
        <v>409.93</v>
      </c>
      <c r="D9" s="2"/>
      <c r="E9" s="5" t="s">
        <v>33</v>
      </c>
      <c r="F9" s="7">
        <f>COUNTIF('Customer Data'!J2:J16, E9)</f>
        <v>3</v>
      </c>
      <c r="G9" s="7">
        <f>COUNTIFS('Customer Data'!J2:J16, E9, 'Customer Data'!K2:K16, "Yes")</f>
        <v>0</v>
      </c>
      <c r="H9" s="11">
        <f>SUMIFS('Customer Data'!F2:F16, 'Customer Data'!J2:J16, E9, 'Customer Data'!K2:K16, "Yes")</f>
        <v>0</v>
      </c>
      <c r="I9" s="2"/>
      <c r="J9" s="9" t="s">
        <v>60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61</v>
      </c>
      <c r="C10" s="12">
        <f>SUMIF('Customer Data'!K2:K16, "Yes", 'Customer Data'!F2:F16)/SUM('Customer Data'!F2:F16)</f>
        <v>0.3228176556</v>
      </c>
      <c r="D10" s="2"/>
      <c r="E10" s="5" t="s">
        <v>19</v>
      </c>
      <c r="F10" s="7">
        <f>COUNTIF('Customer Data'!J2:J16, E10)</f>
        <v>6</v>
      </c>
      <c r="G10" s="7">
        <f>COUNTIFS('Customer Data'!J2:J16, E10, 'Customer Data'!K2:K16, "Yes")</f>
        <v>2</v>
      </c>
      <c r="H10" s="11">
        <f>SUMIFS('Customer Data'!F2:F16, 'Customer Data'!J2:J16, E10, 'Customer Data'!K2:K16, "Yes")</f>
        <v>99.98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62</v>
      </c>
      <c r="C11" s="7">
        <f>AVERAGE('Customer Data'!D2:D16)</f>
        <v>18.8</v>
      </c>
      <c r="D11" s="2"/>
      <c r="E11" s="5" t="s">
        <v>41</v>
      </c>
      <c r="F11" s="7">
        <f>COUNTIF('Customer Data'!J2:J16, E11)</f>
        <v>2</v>
      </c>
      <c r="G11" s="7">
        <f>COUNTIFS('Customer Data'!J2:J16, E11, 'Customer Data'!K2:K16, "Yes")</f>
        <v>2</v>
      </c>
      <c r="H11" s="11">
        <f>SUMIFS('Customer Data'!F2:F16, 'Customer Data'!J2:J16, E11, 'Customer Data'!K2:K16, "Yes")</f>
        <v>159.98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 t="s">
        <v>63</v>
      </c>
      <c r="C12" s="7">
        <f>AVERAGEIF('Customer Data'!K2:K16, "Yes", 'Customer Data'!D2:D16)</f>
        <v>7</v>
      </c>
      <c r="D12" s="2"/>
      <c r="E12" s="5" t="s">
        <v>36</v>
      </c>
      <c r="F12" s="7">
        <f>COUNTIF('Customer Data'!J2:J16, E12)</f>
        <v>4</v>
      </c>
      <c r="G12" s="7">
        <f>COUNTIFS('Customer Data'!J2:J16, E12, 'Customer Data'!K2:K16, "Yes")</f>
        <v>3</v>
      </c>
      <c r="H12" s="11">
        <f>SUMIFS('Customer Data'!F2:F16, 'Customer Data'!J2:J16, E12, 'Customer Data'!K2:K16, "Yes")</f>
        <v>149.97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 t="s">
        <v>64</v>
      </c>
      <c r="C13" s="7">
        <f>AVERAGEIF('Customer Data'!K2:K16, "No", 'Customer Data'!D2:D16)</f>
        <v>29.125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8" t="s">
        <v>65</v>
      </c>
      <c r="F14" s="8" t="s">
        <v>24</v>
      </c>
      <c r="G14" s="8" t="s">
        <v>25</v>
      </c>
      <c r="H14" s="8" t="s">
        <v>26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5" t="s">
        <v>16</v>
      </c>
      <c r="F15" s="7">
        <f>COUNTIF('Customer Data'!E2:E16, E15)</f>
        <v>7</v>
      </c>
      <c r="G15" s="7">
        <f>COUNTIFS('Customer Data'!E2:E16, E15, 'Customer Data'!K2:K16, "Yes")</f>
        <v>5</v>
      </c>
      <c r="H15" s="11">
        <f>SUMIFS('Customer Data'!F2:F16, 'Customer Data'!E2:E16, E15, 'Customer Data'!K2:K16, "Yes")</f>
        <v>249.95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5" t="s">
        <v>31</v>
      </c>
      <c r="F16" s="7">
        <f>COUNTIF('Customer Data'!E2:E16, E16)</f>
        <v>4</v>
      </c>
      <c r="G16" s="7">
        <f>COUNTIFS('Customer Data'!E2:E16, E16, 'Customer Data'!K2:K16, "Yes")</f>
        <v>2</v>
      </c>
      <c r="H16" s="11">
        <f>SUMIFS('Customer Data'!F2:F16, 'Customer Data'!E2:E16, E16, 'Customer Data'!K2:K16, "Yes")</f>
        <v>159.98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5" t="s">
        <v>38</v>
      </c>
      <c r="F17" s="7">
        <f>COUNTIF('Customer Data'!E2:E16, E17)</f>
        <v>4</v>
      </c>
      <c r="G17" s="7">
        <f>COUNTIFS('Customer Data'!E2:E16, E17, 'Customer Data'!K2:K16, "Yes")</f>
        <v>0</v>
      </c>
      <c r="H17" s="11">
        <f>SUMIFS('Customer Data'!F2:F16, 'Customer Data'!E2:E16, E17, 'Customer Data'!K2:K16, "Yes")</f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8" t="s">
        <v>66</v>
      </c>
      <c r="F19" s="8" t="s">
        <v>24</v>
      </c>
      <c r="G19" s="8" t="s">
        <v>25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3">
        <v>0.0</v>
      </c>
      <c r="F20" s="7">
        <f>COUNTIF('Customer Data'!I2:I16, E20)</f>
        <v>2</v>
      </c>
      <c r="G20" s="7">
        <f>COUNTIFS('Customer Data'!I2:I16, E20, 'Customer Data'!K2:K16, "Yes")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13">
        <v>1.0</v>
      </c>
      <c r="F21" s="7">
        <f>COUNTIF('Customer Data'!I2:I16, E21)</f>
        <v>4</v>
      </c>
      <c r="G21" s="7">
        <f>COUNTIFS('Customer Data'!I2:I16, E21, 'Customer Data'!K2:K16, "Yes")</f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13">
        <v>2.0</v>
      </c>
      <c r="F22" s="7">
        <f>COUNTIF('Customer Data'!I2:I16, E22)</f>
        <v>2</v>
      </c>
      <c r="G22" s="7">
        <f>COUNTIFS('Customer Data'!I2:I16, E22, 'Customer Data'!K2:K16, "Yes")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13">
        <v>3.0</v>
      </c>
      <c r="F23" s="7">
        <f>COUNTIF('Customer Data'!I2:I16, E23)</f>
        <v>2</v>
      </c>
      <c r="G23" s="7">
        <f>COUNTIFS('Customer Data'!I2:I16, E23, 'Customer Data'!K2:K16, "Yes")</f>
        <v>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13">
        <v>4.0</v>
      </c>
      <c r="F24" s="7">
        <f>COUNTIF('Customer Data'!I2:I16, E24)</f>
        <v>2</v>
      </c>
      <c r="G24" s="7">
        <f>COUNTIFS('Customer Data'!I2:I16, E24, 'Customer Data'!K2:K16, "Yes")</f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13">
        <v>5.0</v>
      </c>
      <c r="F25" s="7">
        <f>COUNTIF('Customer Data'!I2:I16, E25)</f>
        <v>2</v>
      </c>
      <c r="G25" s="7">
        <f>COUNTIFS('Customer Data'!I2:I16, E25, 'Customer Data'!K2:K16, "Yes")</f>
        <v>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13">
        <v>6.0</v>
      </c>
      <c r="F26" s="7">
        <f>COUNTIF('Customer Data'!I2:I16, E26)</f>
        <v>1</v>
      </c>
      <c r="G26" s="7">
        <f>COUNTIFS('Customer Data'!I2:I16, E26, 'Customer Data'!K2:K16, "Yes")</f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6.25"/>
    <col customWidth="1" min="3" max="3" width="3.75"/>
    <col customWidth="1" min="4" max="4" width="11.38"/>
    <col customWidth="1" min="5" max="5" width="13.5"/>
    <col customWidth="1" min="6" max="6" width="12.75"/>
    <col customWidth="1" min="7" max="7" width="10.5"/>
    <col customWidth="1" min="8" max="8" width="12.63"/>
    <col customWidth="1" min="9" max="9" width="11.88"/>
    <col customWidth="1" min="10" max="10" width="12.88"/>
    <col customWidth="1" min="11" max="11" width="5.25"/>
    <col customWidth="1" min="12" max="12" width="20.88"/>
    <col customWidth="1" min="13" max="13" width="8.75"/>
    <col customWidth="1" min="14" max="1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34.0</v>
      </c>
      <c r="D2" s="1">
        <v>12.0</v>
      </c>
      <c r="E2" s="1" t="s">
        <v>16</v>
      </c>
      <c r="F2" s="3">
        <v>49.99</v>
      </c>
      <c r="G2" s="3">
        <v>599.88</v>
      </c>
      <c r="H2" s="1" t="s">
        <v>18</v>
      </c>
      <c r="I2" s="1">
        <v>3.0</v>
      </c>
      <c r="J2" s="1" t="s">
        <v>19</v>
      </c>
      <c r="K2" s="1" t="s">
        <v>20</v>
      </c>
      <c r="L2" s="6" t="str">
        <f t="shared" ref="L2:L16" si="1">IFS(D2&lt;=6, "0-6 Months (Early)", D2&lt;=12, "7-12 Months (Developing)", D2&lt;=24, "13-24 Months (Established)", D2&gt;24, "24+ Months (Loyal)")</f>
        <v>7-12 Months (Developing)</v>
      </c>
      <c r="M2" s="6">
        <f t="shared" ref="M2:M16" si="2">IF(K2="Yes", 1, 0)</f>
        <v>1</v>
      </c>
      <c r="N2" s="10">
        <f t="shared" ref="N2:N16" si="3">F2*12</f>
        <v>599.88</v>
      </c>
    </row>
    <row r="3">
      <c r="A3" s="1" t="s">
        <v>29</v>
      </c>
      <c r="B3" s="1" t="s">
        <v>30</v>
      </c>
      <c r="C3" s="1">
        <v>45.0</v>
      </c>
      <c r="D3" s="1">
        <v>24.0</v>
      </c>
      <c r="E3" s="1" t="s">
        <v>31</v>
      </c>
      <c r="F3" s="3">
        <v>79.99</v>
      </c>
      <c r="G3" s="3">
        <v>1919.76</v>
      </c>
      <c r="H3" s="1" t="s">
        <v>32</v>
      </c>
      <c r="I3" s="1">
        <v>1.0</v>
      </c>
      <c r="J3" s="1" t="s">
        <v>33</v>
      </c>
      <c r="K3" s="1" t="s">
        <v>34</v>
      </c>
      <c r="L3" s="6" t="str">
        <f t="shared" si="1"/>
        <v>13-24 Months (Established)</v>
      </c>
      <c r="M3" s="6">
        <f t="shared" si="2"/>
        <v>0</v>
      </c>
      <c r="N3" s="10">
        <f t="shared" si="3"/>
        <v>959.88</v>
      </c>
    </row>
    <row r="4">
      <c r="A4" s="1" t="s">
        <v>35</v>
      </c>
      <c r="B4" s="1" t="s">
        <v>15</v>
      </c>
      <c r="C4" s="1">
        <v>29.0</v>
      </c>
      <c r="D4" s="1">
        <v>6.0</v>
      </c>
      <c r="E4" s="1" t="s">
        <v>16</v>
      </c>
      <c r="F4" s="3">
        <v>49.99</v>
      </c>
      <c r="G4" s="3">
        <v>299.94</v>
      </c>
      <c r="H4" s="1" t="s">
        <v>18</v>
      </c>
      <c r="I4" s="1">
        <v>5.0</v>
      </c>
      <c r="J4" s="1" t="s">
        <v>36</v>
      </c>
      <c r="K4" s="1" t="s">
        <v>20</v>
      </c>
      <c r="L4" s="6" t="str">
        <f t="shared" si="1"/>
        <v>0-6 Months (Early)</v>
      </c>
      <c r="M4" s="6">
        <f t="shared" si="2"/>
        <v>1</v>
      </c>
      <c r="N4" s="10">
        <f t="shared" si="3"/>
        <v>599.88</v>
      </c>
    </row>
    <row r="5">
      <c r="A5" s="1" t="s">
        <v>37</v>
      </c>
      <c r="B5" s="1" t="s">
        <v>30</v>
      </c>
      <c r="C5" s="1">
        <v>52.0</v>
      </c>
      <c r="D5" s="1">
        <v>36.0</v>
      </c>
      <c r="E5" s="1" t="s">
        <v>38</v>
      </c>
      <c r="F5" s="3">
        <v>149.99</v>
      </c>
      <c r="G5" s="3">
        <v>5399.64</v>
      </c>
      <c r="H5" s="1" t="s">
        <v>39</v>
      </c>
      <c r="I5" s="1">
        <v>0.0</v>
      </c>
      <c r="J5" s="1" t="s">
        <v>19</v>
      </c>
      <c r="K5" s="1" t="s">
        <v>34</v>
      </c>
      <c r="L5" s="6" t="str">
        <f t="shared" si="1"/>
        <v>24+ Months (Loyal)</v>
      </c>
      <c r="M5" s="6">
        <f t="shared" si="2"/>
        <v>0</v>
      </c>
      <c r="N5" s="10">
        <f t="shared" si="3"/>
        <v>1799.88</v>
      </c>
    </row>
    <row r="6">
      <c r="A6" s="1" t="s">
        <v>40</v>
      </c>
      <c r="B6" s="1" t="s">
        <v>15</v>
      </c>
      <c r="C6" s="1">
        <v>41.0</v>
      </c>
      <c r="D6" s="1">
        <v>8.0</v>
      </c>
      <c r="E6" s="1" t="s">
        <v>31</v>
      </c>
      <c r="F6" s="3">
        <v>79.99</v>
      </c>
      <c r="G6" s="3">
        <v>639.92</v>
      </c>
      <c r="H6" s="1" t="s">
        <v>18</v>
      </c>
      <c r="I6" s="1">
        <v>4.0</v>
      </c>
      <c r="J6" s="1" t="s">
        <v>41</v>
      </c>
      <c r="K6" s="1" t="s">
        <v>20</v>
      </c>
      <c r="L6" s="6" t="str">
        <f t="shared" si="1"/>
        <v>7-12 Months (Developing)</v>
      </c>
      <c r="M6" s="6">
        <f t="shared" si="2"/>
        <v>1</v>
      </c>
      <c r="N6" s="10">
        <f t="shared" si="3"/>
        <v>959.88</v>
      </c>
    </row>
    <row r="7">
      <c r="A7" s="1" t="s">
        <v>42</v>
      </c>
      <c r="B7" s="1" t="s">
        <v>30</v>
      </c>
      <c r="C7" s="1">
        <v>31.0</v>
      </c>
      <c r="D7" s="1">
        <v>18.0</v>
      </c>
      <c r="E7" s="1" t="s">
        <v>16</v>
      </c>
      <c r="F7" s="3">
        <v>49.99</v>
      </c>
      <c r="G7" s="3">
        <v>899.82</v>
      </c>
      <c r="H7" s="1" t="s">
        <v>32</v>
      </c>
      <c r="I7" s="1">
        <v>2.0</v>
      </c>
      <c r="J7" s="1" t="s">
        <v>36</v>
      </c>
      <c r="K7" s="1" t="s">
        <v>34</v>
      </c>
      <c r="L7" s="6" t="str">
        <f t="shared" si="1"/>
        <v>13-24 Months (Established)</v>
      </c>
      <c r="M7" s="6">
        <f t="shared" si="2"/>
        <v>0</v>
      </c>
      <c r="N7" s="10">
        <f t="shared" si="3"/>
        <v>599.88</v>
      </c>
    </row>
    <row r="8">
      <c r="A8" s="1" t="s">
        <v>43</v>
      </c>
      <c r="B8" s="1" t="s">
        <v>15</v>
      </c>
      <c r="C8" s="1">
        <v>23.0</v>
      </c>
      <c r="D8" s="1">
        <v>3.0</v>
      </c>
      <c r="E8" s="1" t="s">
        <v>16</v>
      </c>
      <c r="F8" s="3">
        <v>49.99</v>
      </c>
      <c r="G8" s="3">
        <v>149.97</v>
      </c>
      <c r="H8" s="1" t="s">
        <v>18</v>
      </c>
      <c r="I8" s="1">
        <v>6.0</v>
      </c>
      <c r="J8" s="1" t="s">
        <v>19</v>
      </c>
      <c r="K8" s="1" t="s">
        <v>20</v>
      </c>
      <c r="L8" s="6" t="str">
        <f t="shared" si="1"/>
        <v>0-6 Months (Early)</v>
      </c>
      <c r="M8" s="6">
        <f t="shared" si="2"/>
        <v>1</v>
      </c>
      <c r="N8" s="10">
        <f t="shared" si="3"/>
        <v>599.88</v>
      </c>
    </row>
    <row r="9">
      <c r="A9" s="1" t="s">
        <v>44</v>
      </c>
      <c r="B9" s="1" t="s">
        <v>30</v>
      </c>
      <c r="C9" s="1">
        <v>60.0</v>
      </c>
      <c r="D9" s="1">
        <v>48.0</v>
      </c>
      <c r="E9" s="1" t="s">
        <v>38</v>
      </c>
      <c r="F9" s="3">
        <v>149.99</v>
      </c>
      <c r="G9" s="3">
        <v>7199.52</v>
      </c>
      <c r="H9" s="1" t="s">
        <v>39</v>
      </c>
      <c r="I9" s="1">
        <v>1.0</v>
      </c>
      <c r="J9" s="1" t="s">
        <v>33</v>
      </c>
      <c r="K9" s="1" t="s">
        <v>34</v>
      </c>
      <c r="L9" s="6" t="str">
        <f t="shared" si="1"/>
        <v>24+ Months (Loyal)</v>
      </c>
      <c r="M9" s="6">
        <f t="shared" si="2"/>
        <v>0</v>
      </c>
      <c r="N9" s="10">
        <f t="shared" si="3"/>
        <v>1799.88</v>
      </c>
    </row>
    <row r="10">
      <c r="A10" s="1" t="s">
        <v>45</v>
      </c>
      <c r="B10" s="1" t="s">
        <v>15</v>
      </c>
      <c r="C10" s="1">
        <v>38.0</v>
      </c>
      <c r="D10" s="1">
        <v>15.0</v>
      </c>
      <c r="E10" s="1" t="s">
        <v>31</v>
      </c>
      <c r="F10" s="3">
        <v>79.99</v>
      </c>
      <c r="G10" s="3">
        <v>1199.85</v>
      </c>
      <c r="H10" s="1" t="s">
        <v>32</v>
      </c>
      <c r="I10" s="1">
        <v>2.0</v>
      </c>
      <c r="J10" s="1" t="s">
        <v>19</v>
      </c>
      <c r="K10" s="1" t="s">
        <v>34</v>
      </c>
      <c r="L10" s="6" t="str">
        <f t="shared" si="1"/>
        <v>13-24 Months (Established)</v>
      </c>
      <c r="M10" s="6">
        <f t="shared" si="2"/>
        <v>0</v>
      </c>
      <c r="N10" s="10">
        <f t="shared" si="3"/>
        <v>959.88</v>
      </c>
    </row>
    <row r="11">
      <c r="A11" s="1" t="s">
        <v>46</v>
      </c>
      <c r="B11" s="1" t="s">
        <v>30</v>
      </c>
      <c r="C11" s="1">
        <v>27.0</v>
      </c>
      <c r="D11" s="1">
        <v>4.0</v>
      </c>
      <c r="E11" s="1" t="s">
        <v>16</v>
      </c>
      <c r="F11" s="3">
        <v>49.99</v>
      </c>
      <c r="G11" s="3">
        <v>199.96</v>
      </c>
      <c r="H11" s="1" t="s">
        <v>18</v>
      </c>
      <c r="I11" s="1">
        <v>4.0</v>
      </c>
      <c r="J11" s="1" t="s">
        <v>36</v>
      </c>
      <c r="K11" s="1" t="s">
        <v>20</v>
      </c>
      <c r="L11" s="6" t="str">
        <f t="shared" si="1"/>
        <v>0-6 Months (Early)</v>
      </c>
      <c r="M11" s="6">
        <f t="shared" si="2"/>
        <v>1</v>
      </c>
      <c r="N11" s="10">
        <f t="shared" si="3"/>
        <v>599.88</v>
      </c>
    </row>
    <row r="12">
      <c r="A12" s="1" t="s">
        <v>48</v>
      </c>
      <c r="B12" s="1" t="s">
        <v>15</v>
      </c>
      <c r="C12" s="1">
        <v>49.0</v>
      </c>
      <c r="D12" s="1">
        <v>30.0</v>
      </c>
      <c r="E12" s="1" t="s">
        <v>38</v>
      </c>
      <c r="F12" s="3">
        <v>149.99</v>
      </c>
      <c r="G12" s="3">
        <v>4499.7</v>
      </c>
      <c r="H12" s="1" t="s">
        <v>39</v>
      </c>
      <c r="I12" s="1">
        <v>0.0</v>
      </c>
      <c r="J12" s="1" t="s">
        <v>19</v>
      </c>
      <c r="K12" s="1" t="s">
        <v>34</v>
      </c>
      <c r="L12" s="6" t="str">
        <f t="shared" si="1"/>
        <v>24+ Months (Loyal)</v>
      </c>
      <c r="M12" s="6">
        <f t="shared" si="2"/>
        <v>0</v>
      </c>
      <c r="N12" s="10">
        <f t="shared" si="3"/>
        <v>1799.88</v>
      </c>
    </row>
    <row r="13">
      <c r="A13" s="1" t="s">
        <v>49</v>
      </c>
      <c r="B13" s="1" t="s">
        <v>30</v>
      </c>
      <c r="C13" s="1">
        <v>33.0</v>
      </c>
      <c r="D13" s="1">
        <v>14.0</v>
      </c>
      <c r="E13" s="1" t="s">
        <v>31</v>
      </c>
      <c r="F13" s="3">
        <v>79.99</v>
      </c>
      <c r="G13" s="3">
        <v>1119.86</v>
      </c>
      <c r="H13" s="1" t="s">
        <v>18</v>
      </c>
      <c r="I13" s="1">
        <v>3.0</v>
      </c>
      <c r="J13" s="1" t="s">
        <v>41</v>
      </c>
      <c r="K13" s="1" t="s">
        <v>20</v>
      </c>
      <c r="L13" s="6" t="str">
        <f t="shared" si="1"/>
        <v>13-24 Months (Established)</v>
      </c>
      <c r="M13" s="6">
        <f t="shared" si="2"/>
        <v>1</v>
      </c>
      <c r="N13" s="10">
        <f t="shared" si="3"/>
        <v>959.88</v>
      </c>
    </row>
    <row r="14">
      <c r="A14" s="1" t="s">
        <v>50</v>
      </c>
      <c r="B14" s="1" t="s">
        <v>15</v>
      </c>
      <c r="C14" s="1">
        <v>55.0</v>
      </c>
      <c r="D14" s="1">
        <v>22.0</v>
      </c>
      <c r="E14" s="1" t="s">
        <v>16</v>
      </c>
      <c r="F14" s="3">
        <v>49.99</v>
      </c>
      <c r="G14" s="3">
        <v>1099.78</v>
      </c>
      <c r="H14" s="1" t="s">
        <v>32</v>
      </c>
      <c r="I14" s="1">
        <v>1.0</v>
      </c>
      <c r="J14" s="1" t="s">
        <v>33</v>
      </c>
      <c r="K14" s="1" t="s">
        <v>34</v>
      </c>
      <c r="L14" s="6" t="str">
        <f t="shared" si="1"/>
        <v>13-24 Months (Established)</v>
      </c>
      <c r="M14" s="6">
        <f t="shared" si="2"/>
        <v>0</v>
      </c>
      <c r="N14" s="10">
        <f t="shared" si="3"/>
        <v>599.88</v>
      </c>
    </row>
    <row r="15">
      <c r="A15" s="1" t="s">
        <v>51</v>
      </c>
      <c r="B15" s="1" t="s">
        <v>30</v>
      </c>
      <c r="C15" s="1">
        <v>26.0</v>
      </c>
      <c r="D15" s="1">
        <v>2.0</v>
      </c>
      <c r="E15" s="1" t="s">
        <v>16</v>
      </c>
      <c r="F15" s="3">
        <v>49.99</v>
      </c>
      <c r="G15" s="3">
        <v>99.98</v>
      </c>
      <c r="H15" s="1" t="s">
        <v>18</v>
      </c>
      <c r="I15" s="1">
        <v>5.0</v>
      </c>
      <c r="J15" s="1" t="s">
        <v>36</v>
      </c>
      <c r="K15" s="1" t="s">
        <v>20</v>
      </c>
      <c r="L15" s="6" t="str">
        <f t="shared" si="1"/>
        <v>0-6 Months (Early)</v>
      </c>
      <c r="M15" s="6">
        <f t="shared" si="2"/>
        <v>1</v>
      </c>
      <c r="N15" s="10">
        <f t="shared" si="3"/>
        <v>599.88</v>
      </c>
    </row>
    <row r="16">
      <c r="A16" s="1" t="s">
        <v>52</v>
      </c>
      <c r="B16" s="1" t="s">
        <v>15</v>
      </c>
      <c r="C16" s="1">
        <v>43.0</v>
      </c>
      <c r="D16" s="1">
        <v>40.0</v>
      </c>
      <c r="E16" s="1" t="s">
        <v>38</v>
      </c>
      <c r="F16" s="3">
        <v>149.99</v>
      </c>
      <c r="G16" s="3">
        <v>5999.6</v>
      </c>
      <c r="H16" s="1" t="s">
        <v>39</v>
      </c>
      <c r="I16" s="1">
        <v>1.0</v>
      </c>
      <c r="J16" s="1" t="s">
        <v>19</v>
      </c>
      <c r="K16" s="1" t="s">
        <v>34</v>
      </c>
      <c r="L16" s="6" t="str">
        <f t="shared" si="1"/>
        <v>24+ Months (Loyal)</v>
      </c>
      <c r="M16" s="6">
        <f t="shared" si="2"/>
        <v>0</v>
      </c>
      <c r="N16" s="10">
        <f t="shared" si="3"/>
        <v>1799.88</v>
      </c>
    </row>
    <row r="17">
      <c r="F17" s="10"/>
      <c r="G17" s="10"/>
      <c r="N17" s="10"/>
    </row>
    <row r="18">
      <c r="F18" s="10"/>
      <c r="G18" s="10"/>
      <c r="N18" s="10"/>
    </row>
    <row r="19">
      <c r="F19" s="10"/>
      <c r="G19" s="10"/>
      <c r="N19" s="10"/>
    </row>
    <row r="20">
      <c r="F20" s="10"/>
      <c r="G20" s="10"/>
      <c r="N20" s="10"/>
    </row>
    <row r="21">
      <c r="F21" s="10"/>
      <c r="G21" s="10"/>
      <c r="N21" s="10"/>
    </row>
    <row r="22">
      <c r="F22" s="10"/>
      <c r="G22" s="10"/>
      <c r="N22" s="10"/>
    </row>
    <row r="23">
      <c r="F23" s="10"/>
      <c r="G23" s="10"/>
      <c r="N23" s="10"/>
    </row>
    <row r="24">
      <c r="F24" s="10"/>
      <c r="G24" s="10"/>
      <c r="N24" s="10"/>
    </row>
    <row r="25">
      <c r="F25" s="10"/>
      <c r="G25" s="10"/>
      <c r="N25" s="10"/>
    </row>
    <row r="26">
      <c r="F26" s="10"/>
      <c r="G26" s="10"/>
      <c r="N26" s="10"/>
    </row>
    <row r="27">
      <c r="F27" s="10"/>
      <c r="G27" s="10"/>
      <c r="N27" s="10"/>
    </row>
    <row r="28">
      <c r="F28" s="10"/>
      <c r="G28" s="10"/>
      <c r="N28" s="10"/>
    </row>
    <row r="29">
      <c r="F29" s="10"/>
      <c r="G29" s="10"/>
      <c r="N29" s="10"/>
    </row>
    <row r="30">
      <c r="F30" s="10"/>
      <c r="G30" s="10"/>
      <c r="N30" s="10"/>
    </row>
    <row r="31">
      <c r="F31" s="10"/>
      <c r="G31" s="10"/>
      <c r="N31" s="10"/>
    </row>
    <row r="32">
      <c r="F32" s="10"/>
      <c r="G32" s="10"/>
      <c r="N32" s="10"/>
    </row>
    <row r="33">
      <c r="F33" s="10"/>
      <c r="G33" s="10"/>
      <c r="N33" s="10"/>
    </row>
    <row r="34">
      <c r="F34" s="10"/>
      <c r="G34" s="10"/>
      <c r="N34" s="10"/>
    </row>
    <row r="35">
      <c r="F35" s="10"/>
      <c r="G35" s="10"/>
      <c r="N35" s="10"/>
    </row>
    <row r="36">
      <c r="F36" s="10"/>
      <c r="G36" s="10"/>
      <c r="N36" s="10"/>
    </row>
    <row r="37">
      <c r="F37" s="10"/>
      <c r="G37" s="10"/>
      <c r="N37" s="10"/>
    </row>
    <row r="38">
      <c r="F38" s="10"/>
      <c r="G38" s="10"/>
      <c r="N38" s="10"/>
    </row>
    <row r="39">
      <c r="F39" s="10"/>
      <c r="G39" s="10"/>
      <c r="N39" s="10"/>
    </row>
    <row r="40">
      <c r="F40" s="10"/>
      <c r="G40" s="10"/>
      <c r="N40" s="10"/>
    </row>
    <row r="41">
      <c r="F41" s="10"/>
      <c r="G41" s="10"/>
      <c r="N41" s="10"/>
    </row>
    <row r="42">
      <c r="F42" s="10"/>
      <c r="G42" s="10"/>
      <c r="N42" s="10"/>
    </row>
    <row r="43">
      <c r="F43" s="10"/>
      <c r="G43" s="10"/>
      <c r="N43" s="10"/>
    </row>
    <row r="44">
      <c r="F44" s="10"/>
      <c r="G44" s="10"/>
      <c r="N44" s="10"/>
    </row>
    <row r="45">
      <c r="F45" s="10"/>
      <c r="G45" s="10"/>
      <c r="N45" s="10"/>
    </row>
    <row r="46">
      <c r="F46" s="10"/>
      <c r="G46" s="10"/>
      <c r="N46" s="10"/>
    </row>
    <row r="47">
      <c r="F47" s="10"/>
      <c r="G47" s="10"/>
      <c r="N47" s="10"/>
    </row>
    <row r="48">
      <c r="F48" s="10"/>
      <c r="G48" s="10"/>
      <c r="N48" s="10"/>
    </row>
    <row r="49">
      <c r="F49" s="10"/>
      <c r="G49" s="10"/>
      <c r="N49" s="10"/>
    </row>
    <row r="50">
      <c r="F50" s="10"/>
      <c r="G50" s="10"/>
      <c r="N50" s="10"/>
    </row>
    <row r="51">
      <c r="F51" s="10"/>
      <c r="G51" s="10"/>
      <c r="N51" s="10"/>
    </row>
    <row r="52">
      <c r="F52" s="10"/>
      <c r="G52" s="10"/>
      <c r="N52" s="10"/>
    </row>
    <row r="53">
      <c r="F53" s="10"/>
      <c r="G53" s="10"/>
      <c r="N53" s="10"/>
    </row>
    <row r="54">
      <c r="F54" s="10"/>
      <c r="G54" s="10"/>
      <c r="N54" s="10"/>
    </row>
    <row r="55">
      <c r="F55" s="10"/>
      <c r="G55" s="10"/>
      <c r="N55" s="10"/>
    </row>
    <row r="56">
      <c r="F56" s="10"/>
      <c r="G56" s="10"/>
      <c r="N56" s="10"/>
    </row>
    <row r="57">
      <c r="F57" s="10"/>
      <c r="G57" s="10"/>
      <c r="N57" s="10"/>
    </row>
    <row r="58">
      <c r="F58" s="10"/>
      <c r="G58" s="10"/>
      <c r="N58" s="10"/>
    </row>
    <row r="59">
      <c r="F59" s="10"/>
      <c r="G59" s="10"/>
      <c r="N59" s="10"/>
    </row>
    <row r="60">
      <c r="F60" s="10"/>
      <c r="G60" s="10"/>
      <c r="N60" s="10"/>
    </row>
    <row r="61">
      <c r="F61" s="10"/>
      <c r="G61" s="10"/>
      <c r="N61" s="10"/>
    </row>
    <row r="62">
      <c r="F62" s="10"/>
      <c r="G62" s="10"/>
      <c r="N62" s="10"/>
    </row>
    <row r="63">
      <c r="F63" s="10"/>
      <c r="G63" s="10"/>
      <c r="N63" s="10"/>
    </row>
    <row r="64">
      <c r="F64" s="10"/>
      <c r="G64" s="10"/>
      <c r="N64" s="10"/>
    </row>
    <row r="65">
      <c r="F65" s="10"/>
      <c r="G65" s="10"/>
      <c r="N65" s="10"/>
    </row>
    <row r="66">
      <c r="F66" s="10"/>
      <c r="G66" s="10"/>
      <c r="N66" s="10"/>
    </row>
    <row r="67">
      <c r="F67" s="10"/>
      <c r="G67" s="10"/>
      <c r="N67" s="10"/>
    </row>
    <row r="68">
      <c r="F68" s="10"/>
      <c r="G68" s="10"/>
      <c r="N68" s="10"/>
    </row>
    <row r="69">
      <c r="F69" s="10"/>
      <c r="G69" s="10"/>
      <c r="N69" s="10"/>
    </row>
    <row r="70">
      <c r="F70" s="10"/>
      <c r="G70" s="10"/>
      <c r="N70" s="10"/>
    </row>
    <row r="71">
      <c r="F71" s="10"/>
      <c r="G71" s="10"/>
      <c r="N71" s="10"/>
    </row>
    <row r="72">
      <c r="F72" s="10"/>
      <c r="G72" s="10"/>
      <c r="N72" s="10"/>
    </row>
    <row r="73">
      <c r="F73" s="10"/>
      <c r="G73" s="10"/>
      <c r="N73" s="10"/>
    </row>
    <row r="74">
      <c r="F74" s="10"/>
      <c r="G74" s="10"/>
      <c r="N74" s="10"/>
    </row>
    <row r="75">
      <c r="F75" s="10"/>
      <c r="G75" s="10"/>
      <c r="N75" s="10"/>
    </row>
    <row r="76">
      <c r="F76" s="10"/>
      <c r="G76" s="10"/>
      <c r="N76" s="10"/>
    </row>
    <row r="77">
      <c r="F77" s="10"/>
      <c r="G77" s="10"/>
      <c r="N77" s="10"/>
    </row>
    <row r="78">
      <c r="F78" s="10"/>
      <c r="G78" s="10"/>
      <c r="N78" s="10"/>
    </row>
    <row r="79">
      <c r="F79" s="10"/>
      <c r="G79" s="10"/>
      <c r="N79" s="10"/>
    </row>
    <row r="80">
      <c r="F80" s="10"/>
      <c r="G80" s="10"/>
      <c r="N80" s="10"/>
    </row>
    <row r="81">
      <c r="F81" s="10"/>
      <c r="G81" s="10"/>
      <c r="N81" s="10"/>
    </row>
    <row r="82">
      <c r="F82" s="10"/>
      <c r="G82" s="10"/>
      <c r="N82" s="10"/>
    </row>
    <row r="83">
      <c r="F83" s="10"/>
      <c r="G83" s="10"/>
      <c r="N83" s="10"/>
    </row>
    <row r="84">
      <c r="F84" s="10"/>
      <c r="G84" s="10"/>
      <c r="N84" s="10"/>
    </row>
    <row r="85">
      <c r="F85" s="10"/>
      <c r="G85" s="10"/>
      <c r="N85" s="10"/>
    </row>
    <row r="86">
      <c r="F86" s="10"/>
      <c r="G86" s="10"/>
      <c r="N86" s="10"/>
    </row>
    <row r="87">
      <c r="F87" s="10"/>
      <c r="G87" s="10"/>
      <c r="N87" s="10"/>
    </row>
    <row r="88">
      <c r="F88" s="10"/>
      <c r="G88" s="10"/>
      <c r="N88" s="10"/>
    </row>
    <row r="89">
      <c r="F89" s="10"/>
      <c r="G89" s="10"/>
      <c r="N89" s="10"/>
    </row>
    <row r="90">
      <c r="F90" s="10"/>
      <c r="G90" s="10"/>
      <c r="N90" s="10"/>
    </row>
    <row r="91">
      <c r="F91" s="10"/>
      <c r="G91" s="10"/>
      <c r="N91" s="10"/>
    </row>
    <row r="92">
      <c r="F92" s="10"/>
      <c r="G92" s="10"/>
      <c r="N92" s="10"/>
    </row>
    <row r="93">
      <c r="F93" s="10"/>
      <c r="G93" s="10"/>
      <c r="N93" s="10"/>
    </row>
    <row r="94">
      <c r="F94" s="10"/>
      <c r="G94" s="10"/>
      <c r="N94" s="10"/>
    </row>
    <row r="95">
      <c r="F95" s="10"/>
      <c r="G95" s="10"/>
      <c r="N95" s="10"/>
    </row>
    <row r="96">
      <c r="F96" s="10"/>
      <c r="G96" s="10"/>
      <c r="N96" s="10"/>
    </row>
    <row r="97">
      <c r="F97" s="10"/>
      <c r="G97" s="10"/>
      <c r="N97" s="10"/>
    </row>
    <row r="98">
      <c r="F98" s="10"/>
      <c r="G98" s="10"/>
      <c r="N98" s="10"/>
    </row>
    <row r="99">
      <c r="F99" s="10"/>
      <c r="G99" s="10"/>
      <c r="N99" s="10"/>
    </row>
    <row r="100">
      <c r="F100" s="10"/>
      <c r="G100" s="10"/>
      <c r="N100" s="10"/>
    </row>
    <row r="101">
      <c r="F101" s="10"/>
      <c r="G101" s="10"/>
      <c r="N101" s="10"/>
    </row>
    <row r="102">
      <c r="F102" s="10"/>
      <c r="G102" s="10"/>
      <c r="N102" s="10"/>
    </row>
    <row r="103">
      <c r="F103" s="10"/>
      <c r="G103" s="10"/>
      <c r="N103" s="10"/>
    </row>
    <row r="104">
      <c r="F104" s="10"/>
      <c r="G104" s="10"/>
      <c r="N104" s="10"/>
    </row>
    <row r="105">
      <c r="F105" s="10"/>
      <c r="G105" s="10"/>
      <c r="N105" s="10"/>
    </row>
    <row r="106">
      <c r="F106" s="10"/>
      <c r="G106" s="10"/>
      <c r="N106" s="10"/>
    </row>
    <row r="107">
      <c r="F107" s="10"/>
      <c r="G107" s="10"/>
      <c r="N107" s="10"/>
    </row>
    <row r="108">
      <c r="F108" s="10"/>
      <c r="G108" s="10"/>
      <c r="N108" s="10"/>
    </row>
    <row r="109">
      <c r="F109" s="10"/>
      <c r="G109" s="10"/>
      <c r="N109" s="10"/>
    </row>
    <row r="110">
      <c r="F110" s="10"/>
      <c r="G110" s="10"/>
      <c r="N110" s="10"/>
    </row>
    <row r="111">
      <c r="F111" s="10"/>
      <c r="G111" s="10"/>
      <c r="N111" s="10"/>
    </row>
    <row r="112">
      <c r="F112" s="10"/>
      <c r="G112" s="10"/>
      <c r="N112" s="10"/>
    </row>
    <row r="113">
      <c r="F113" s="10"/>
      <c r="G113" s="10"/>
      <c r="N113" s="10"/>
    </row>
    <row r="114">
      <c r="F114" s="10"/>
      <c r="G114" s="10"/>
      <c r="N114" s="10"/>
    </row>
    <row r="115">
      <c r="F115" s="10"/>
      <c r="G115" s="10"/>
      <c r="N115" s="10"/>
    </row>
    <row r="116">
      <c r="F116" s="10"/>
      <c r="G116" s="10"/>
      <c r="N116" s="10"/>
    </row>
    <row r="117">
      <c r="F117" s="10"/>
      <c r="G117" s="10"/>
      <c r="N117" s="10"/>
    </row>
    <row r="118">
      <c r="F118" s="10"/>
      <c r="G118" s="10"/>
      <c r="N118" s="10"/>
    </row>
    <row r="119">
      <c r="F119" s="10"/>
      <c r="G119" s="10"/>
      <c r="N119" s="10"/>
    </row>
    <row r="120">
      <c r="F120" s="10"/>
      <c r="G120" s="10"/>
      <c r="N120" s="10"/>
    </row>
    <row r="121">
      <c r="F121" s="10"/>
      <c r="G121" s="10"/>
      <c r="N121" s="10"/>
    </row>
    <row r="122">
      <c r="F122" s="10"/>
      <c r="G122" s="10"/>
      <c r="N122" s="10"/>
    </row>
    <row r="123">
      <c r="F123" s="10"/>
      <c r="G123" s="10"/>
      <c r="N123" s="10"/>
    </row>
    <row r="124">
      <c r="F124" s="10"/>
      <c r="G124" s="10"/>
      <c r="N124" s="10"/>
    </row>
    <row r="125">
      <c r="F125" s="10"/>
      <c r="G125" s="10"/>
      <c r="N125" s="10"/>
    </row>
    <row r="126">
      <c r="F126" s="10"/>
      <c r="G126" s="10"/>
      <c r="N126" s="10"/>
    </row>
    <row r="127">
      <c r="F127" s="10"/>
      <c r="G127" s="10"/>
      <c r="N127" s="10"/>
    </row>
    <row r="128">
      <c r="F128" s="10"/>
      <c r="G128" s="10"/>
      <c r="N128" s="10"/>
    </row>
    <row r="129">
      <c r="F129" s="10"/>
      <c r="G129" s="10"/>
      <c r="N129" s="10"/>
    </row>
    <row r="130">
      <c r="F130" s="10"/>
      <c r="G130" s="10"/>
      <c r="N130" s="10"/>
    </row>
    <row r="131">
      <c r="F131" s="10"/>
      <c r="G131" s="10"/>
      <c r="N131" s="10"/>
    </row>
    <row r="132">
      <c r="F132" s="10"/>
      <c r="G132" s="10"/>
      <c r="N132" s="10"/>
    </row>
    <row r="133">
      <c r="F133" s="10"/>
      <c r="G133" s="10"/>
      <c r="N133" s="10"/>
    </row>
    <row r="134">
      <c r="F134" s="10"/>
      <c r="G134" s="10"/>
      <c r="N134" s="10"/>
    </row>
    <row r="135">
      <c r="F135" s="10"/>
      <c r="G135" s="10"/>
      <c r="N135" s="10"/>
    </row>
    <row r="136">
      <c r="F136" s="10"/>
      <c r="G136" s="10"/>
      <c r="N136" s="10"/>
    </row>
    <row r="137">
      <c r="F137" s="10"/>
      <c r="G137" s="10"/>
      <c r="N137" s="10"/>
    </row>
    <row r="138">
      <c r="F138" s="10"/>
      <c r="G138" s="10"/>
      <c r="N138" s="10"/>
    </row>
    <row r="139">
      <c r="F139" s="10"/>
      <c r="G139" s="10"/>
      <c r="N139" s="10"/>
    </row>
    <row r="140">
      <c r="F140" s="10"/>
      <c r="G140" s="10"/>
      <c r="N140" s="10"/>
    </row>
    <row r="141">
      <c r="F141" s="10"/>
      <c r="G141" s="10"/>
      <c r="N141" s="10"/>
    </row>
    <row r="142">
      <c r="F142" s="10"/>
      <c r="G142" s="10"/>
      <c r="N142" s="10"/>
    </row>
    <row r="143">
      <c r="F143" s="10"/>
      <c r="G143" s="10"/>
      <c r="N143" s="10"/>
    </row>
    <row r="144">
      <c r="F144" s="10"/>
      <c r="G144" s="10"/>
      <c r="N144" s="10"/>
    </row>
    <row r="145">
      <c r="F145" s="10"/>
      <c r="G145" s="10"/>
      <c r="N145" s="10"/>
    </row>
    <row r="146">
      <c r="F146" s="10"/>
      <c r="G146" s="10"/>
      <c r="N146" s="10"/>
    </row>
    <row r="147">
      <c r="F147" s="10"/>
      <c r="G147" s="10"/>
      <c r="N147" s="10"/>
    </row>
    <row r="148">
      <c r="F148" s="10"/>
      <c r="G148" s="10"/>
      <c r="N148" s="10"/>
    </row>
    <row r="149">
      <c r="F149" s="10"/>
      <c r="G149" s="10"/>
      <c r="N149" s="10"/>
    </row>
    <row r="150">
      <c r="F150" s="10"/>
      <c r="G150" s="10"/>
      <c r="N150" s="10"/>
    </row>
    <row r="151">
      <c r="F151" s="10"/>
      <c r="G151" s="10"/>
      <c r="N151" s="10"/>
    </row>
    <row r="152">
      <c r="F152" s="10"/>
      <c r="G152" s="10"/>
      <c r="N152" s="10"/>
    </row>
    <row r="153">
      <c r="F153" s="10"/>
      <c r="G153" s="10"/>
      <c r="N153" s="10"/>
    </row>
    <row r="154">
      <c r="F154" s="10"/>
      <c r="G154" s="10"/>
      <c r="N154" s="10"/>
    </row>
    <row r="155">
      <c r="F155" s="10"/>
      <c r="G155" s="10"/>
      <c r="N155" s="10"/>
    </row>
    <row r="156">
      <c r="F156" s="10"/>
      <c r="G156" s="10"/>
      <c r="N156" s="10"/>
    </row>
    <row r="157">
      <c r="F157" s="10"/>
      <c r="G157" s="10"/>
      <c r="N157" s="10"/>
    </row>
    <row r="158">
      <c r="F158" s="10"/>
      <c r="G158" s="10"/>
      <c r="N158" s="10"/>
    </row>
    <row r="159">
      <c r="F159" s="10"/>
      <c r="G159" s="10"/>
      <c r="N159" s="10"/>
    </row>
    <row r="160">
      <c r="F160" s="10"/>
      <c r="G160" s="10"/>
      <c r="N160" s="10"/>
    </row>
    <row r="161">
      <c r="F161" s="10"/>
      <c r="G161" s="10"/>
      <c r="N161" s="10"/>
    </row>
    <row r="162">
      <c r="F162" s="10"/>
      <c r="G162" s="10"/>
      <c r="N162" s="10"/>
    </row>
    <row r="163">
      <c r="F163" s="10"/>
      <c r="G163" s="10"/>
      <c r="N163" s="10"/>
    </row>
    <row r="164">
      <c r="F164" s="10"/>
      <c r="G164" s="10"/>
      <c r="N164" s="10"/>
    </row>
    <row r="165">
      <c r="F165" s="10"/>
      <c r="G165" s="10"/>
      <c r="N165" s="10"/>
    </row>
    <row r="166">
      <c r="F166" s="10"/>
      <c r="G166" s="10"/>
      <c r="N166" s="10"/>
    </row>
    <row r="167">
      <c r="F167" s="10"/>
      <c r="G167" s="10"/>
      <c r="N167" s="10"/>
    </row>
    <row r="168">
      <c r="F168" s="10"/>
      <c r="G168" s="10"/>
      <c r="N168" s="10"/>
    </row>
    <row r="169">
      <c r="F169" s="10"/>
      <c r="G169" s="10"/>
      <c r="N169" s="10"/>
    </row>
    <row r="170">
      <c r="F170" s="10"/>
      <c r="G170" s="10"/>
      <c r="N170" s="10"/>
    </row>
    <row r="171">
      <c r="F171" s="10"/>
      <c r="G171" s="10"/>
      <c r="N171" s="10"/>
    </row>
    <row r="172">
      <c r="F172" s="10"/>
      <c r="G172" s="10"/>
      <c r="N172" s="10"/>
    </row>
    <row r="173">
      <c r="F173" s="10"/>
      <c r="G173" s="10"/>
      <c r="N173" s="10"/>
    </row>
    <row r="174">
      <c r="F174" s="10"/>
      <c r="G174" s="10"/>
      <c r="N174" s="10"/>
    </row>
    <row r="175">
      <c r="F175" s="10"/>
      <c r="G175" s="10"/>
      <c r="N175" s="10"/>
    </row>
    <row r="176">
      <c r="F176" s="10"/>
      <c r="G176" s="10"/>
      <c r="N176" s="10"/>
    </row>
    <row r="177">
      <c r="F177" s="10"/>
      <c r="G177" s="10"/>
      <c r="N177" s="10"/>
    </row>
    <row r="178">
      <c r="F178" s="10"/>
      <c r="G178" s="10"/>
      <c r="N178" s="10"/>
    </row>
    <row r="179">
      <c r="F179" s="10"/>
      <c r="G179" s="10"/>
      <c r="N179" s="10"/>
    </row>
    <row r="180">
      <c r="F180" s="10"/>
      <c r="G180" s="10"/>
      <c r="N180" s="10"/>
    </row>
    <row r="181">
      <c r="F181" s="10"/>
      <c r="G181" s="10"/>
      <c r="N181" s="10"/>
    </row>
    <row r="182">
      <c r="F182" s="10"/>
      <c r="G182" s="10"/>
      <c r="N182" s="10"/>
    </row>
    <row r="183">
      <c r="F183" s="10"/>
      <c r="G183" s="10"/>
      <c r="N183" s="10"/>
    </row>
    <row r="184">
      <c r="F184" s="10"/>
      <c r="G184" s="10"/>
      <c r="N184" s="10"/>
    </row>
    <row r="185">
      <c r="F185" s="10"/>
      <c r="G185" s="10"/>
      <c r="N185" s="10"/>
    </row>
    <row r="186">
      <c r="F186" s="10"/>
      <c r="G186" s="10"/>
      <c r="N186" s="10"/>
    </row>
    <row r="187">
      <c r="F187" s="10"/>
      <c r="G187" s="10"/>
      <c r="N187" s="10"/>
    </row>
    <row r="188">
      <c r="F188" s="10"/>
      <c r="G188" s="10"/>
      <c r="N188" s="10"/>
    </row>
    <row r="189">
      <c r="F189" s="10"/>
      <c r="G189" s="10"/>
      <c r="N189" s="10"/>
    </row>
    <row r="190">
      <c r="F190" s="10"/>
      <c r="G190" s="10"/>
      <c r="N190" s="10"/>
    </row>
    <row r="191">
      <c r="F191" s="10"/>
      <c r="G191" s="10"/>
      <c r="N191" s="10"/>
    </row>
    <row r="192">
      <c r="F192" s="10"/>
      <c r="G192" s="10"/>
      <c r="N192" s="10"/>
    </row>
    <row r="193">
      <c r="F193" s="10"/>
      <c r="G193" s="10"/>
      <c r="N193" s="10"/>
    </row>
    <row r="194">
      <c r="F194" s="10"/>
      <c r="G194" s="10"/>
      <c r="N194" s="10"/>
    </row>
    <row r="195">
      <c r="F195" s="10"/>
      <c r="G195" s="10"/>
      <c r="N195" s="10"/>
    </row>
    <row r="196">
      <c r="F196" s="10"/>
      <c r="G196" s="10"/>
      <c r="N196" s="10"/>
    </row>
    <row r="197">
      <c r="F197" s="10"/>
      <c r="G197" s="10"/>
      <c r="N197" s="10"/>
    </row>
    <row r="198">
      <c r="F198" s="10"/>
      <c r="G198" s="10"/>
      <c r="N198" s="10"/>
    </row>
    <row r="199">
      <c r="F199" s="10"/>
      <c r="G199" s="10"/>
      <c r="N199" s="10"/>
    </row>
    <row r="200">
      <c r="F200" s="10"/>
      <c r="G200" s="10"/>
      <c r="N200" s="10"/>
    </row>
    <row r="201">
      <c r="F201" s="10"/>
      <c r="G201" s="10"/>
      <c r="N201" s="10"/>
    </row>
    <row r="202">
      <c r="F202" s="10"/>
      <c r="G202" s="10"/>
      <c r="N202" s="10"/>
    </row>
    <row r="203">
      <c r="F203" s="10"/>
      <c r="G203" s="10"/>
      <c r="N203" s="10"/>
    </row>
    <row r="204">
      <c r="F204" s="10"/>
      <c r="G204" s="10"/>
      <c r="N204" s="10"/>
    </row>
    <row r="205">
      <c r="F205" s="10"/>
      <c r="G205" s="10"/>
      <c r="N205" s="10"/>
    </row>
    <row r="206">
      <c r="F206" s="10"/>
      <c r="G206" s="10"/>
      <c r="N206" s="10"/>
    </row>
    <row r="207">
      <c r="F207" s="10"/>
      <c r="G207" s="10"/>
      <c r="N207" s="10"/>
    </row>
    <row r="208">
      <c r="F208" s="10"/>
      <c r="G208" s="10"/>
      <c r="N208" s="10"/>
    </row>
    <row r="209">
      <c r="F209" s="10"/>
      <c r="G209" s="10"/>
      <c r="N209" s="10"/>
    </row>
    <row r="210">
      <c r="F210" s="10"/>
      <c r="G210" s="10"/>
      <c r="N210" s="10"/>
    </row>
    <row r="211">
      <c r="F211" s="10"/>
      <c r="G211" s="10"/>
      <c r="N211" s="10"/>
    </row>
    <row r="212">
      <c r="F212" s="10"/>
      <c r="G212" s="10"/>
      <c r="N212" s="10"/>
    </row>
    <row r="213">
      <c r="F213" s="10"/>
      <c r="G213" s="10"/>
      <c r="N213" s="10"/>
    </row>
    <row r="214">
      <c r="F214" s="10"/>
      <c r="G214" s="10"/>
      <c r="N214" s="10"/>
    </row>
    <row r="215">
      <c r="F215" s="10"/>
      <c r="G215" s="10"/>
      <c r="N215" s="10"/>
    </row>
    <row r="216">
      <c r="F216" s="10"/>
      <c r="G216" s="10"/>
      <c r="N216" s="10"/>
    </row>
    <row r="217">
      <c r="F217" s="10"/>
      <c r="G217" s="10"/>
      <c r="N217" s="10"/>
    </row>
    <row r="218">
      <c r="F218" s="10"/>
      <c r="G218" s="10"/>
      <c r="N218" s="10"/>
    </row>
    <row r="219">
      <c r="F219" s="10"/>
      <c r="G219" s="10"/>
      <c r="N219" s="10"/>
    </row>
    <row r="220">
      <c r="F220" s="10"/>
      <c r="G220" s="10"/>
      <c r="N220" s="10"/>
    </row>
    <row r="221">
      <c r="F221" s="10"/>
      <c r="G221" s="10"/>
      <c r="N221" s="10"/>
    </row>
    <row r="222">
      <c r="F222" s="10"/>
      <c r="G222" s="10"/>
      <c r="N222" s="10"/>
    </row>
    <row r="223">
      <c r="F223" s="10"/>
      <c r="G223" s="10"/>
      <c r="N223" s="10"/>
    </row>
    <row r="224">
      <c r="F224" s="10"/>
      <c r="G224" s="10"/>
      <c r="N224" s="10"/>
    </row>
    <row r="225">
      <c r="F225" s="10"/>
      <c r="G225" s="10"/>
      <c r="N225" s="10"/>
    </row>
    <row r="226">
      <c r="F226" s="10"/>
      <c r="G226" s="10"/>
      <c r="N226" s="10"/>
    </row>
    <row r="227">
      <c r="F227" s="10"/>
      <c r="G227" s="10"/>
      <c r="N227" s="10"/>
    </row>
    <row r="228">
      <c r="F228" s="10"/>
      <c r="G228" s="10"/>
      <c r="N228" s="10"/>
    </row>
    <row r="229">
      <c r="F229" s="10"/>
      <c r="G229" s="10"/>
      <c r="N229" s="10"/>
    </row>
    <row r="230">
      <c r="F230" s="10"/>
      <c r="G230" s="10"/>
      <c r="N230" s="10"/>
    </row>
    <row r="231">
      <c r="F231" s="10"/>
      <c r="G231" s="10"/>
      <c r="N231" s="10"/>
    </row>
    <row r="232">
      <c r="F232" s="10"/>
      <c r="G232" s="10"/>
      <c r="N232" s="10"/>
    </row>
    <row r="233">
      <c r="F233" s="10"/>
      <c r="G233" s="10"/>
      <c r="N233" s="10"/>
    </row>
    <row r="234">
      <c r="F234" s="10"/>
      <c r="G234" s="10"/>
      <c r="N234" s="10"/>
    </row>
    <row r="235">
      <c r="F235" s="10"/>
      <c r="G235" s="10"/>
      <c r="N235" s="10"/>
    </row>
    <row r="236">
      <c r="F236" s="10"/>
      <c r="G236" s="10"/>
      <c r="N236" s="10"/>
    </row>
    <row r="237">
      <c r="F237" s="10"/>
      <c r="G237" s="10"/>
      <c r="N237" s="10"/>
    </row>
    <row r="238">
      <c r="F238" s="10"/>
      <c r="G238" s="10"/>
      <c r="N238" s="10"/>
    </row>
    <row r="239">
      <c r="F239" s="10"/>
      <c r="G239" s="10"/>
      <c r="N239" s="10"/>
    </row>
    <row r="240">
      <c r="F240" s="10"/>
      <c r="G240" s="10"/>
      <c r="N240" s="10"/>
    </row>
    <row r="241">
      <c r="F241" s="10"/>
      <c r="G241" s="10"/>
      <c r="N241" s="10"/>
    </row>
    <row r="242">
      <c r="F242" s="10"/>
      <c r="G242" s="10"/>
      <c r="N242" s="10"/>
    </row>
    <row r="243">
      <c r="F243" s="10"/>
      <c r="G243" s="10"/>
      <c r="N243" s="10"/>
    </row>
    <row r="244">
      <c r="F244" s="10"/>
      <c r="G244" s="10"/>
      <c r="N244" s="10"/>
    </row>
    <row r="245">
      <c r="F245" s="10"/>
      <c r="G245" s="10"/>
      <c r="N245" s="10"/>
    </row>
    <row r="246">
      <c r="F246" s="10"/>
      <c r="G246" s="10"/>
      <c r="N246" s="10"/>
    </row>
    <row r="247">
      <c r="F247" s="10"/>
      <c r="G247" s="10"/>
      <c r="N247" s="10"/>
    </row>
    <row r="248">
      <c r="F248" s="10"/>
      <c r="G248" s="10"/>
      <c r="N248" s="10"/>
    </row>
    <row r="249">
      <c r="F249" s="10"/>
      <c r="G249" s="10"/>
      <c r="N249" s="10"/>
    </row>
    <row r="250">
      <c r="F250" s="10"/>
      <c r="G250" s="10"/>
      <c r="N250" s="10"/>
    </row>
    <row r="251">
      <c r="F251" s="10"/>
      <c r="G251" s="10"/>
      <c r="N251" s="10"/>
    </row>
    <row r="252">
      <c r="F252" s="10"/>
      <c r="G252" s="10"/>
      <c r="N252" s="10"/>
    </row>
    <row r="253">
      <c r="F253" s="10"/>
      <c r="G253" s="10"/>
      <c r="N253" s="10"/>
    </row>
    <row r="254">
      <c r="F254" s="10"/>
      <c r="G254" s="10"/>
      <c r="N254" s="10"/>
    </row>
    <row r="255">
      <c r="F255" s="10"/>
      <c r="G255" s="10"/>
      <c r="N255" s="10"/>
    </row>
    <row r="256">
      <c r="F256" s="10"/>
      <c r="G256" s="10"/>
      <c r="N256" s="10"/>
    </row>
    <row r="257">
      <c r="F257" s="10"/>
      <c r="G257" s="10"/>
      <c r="N257" s="10"/>
    </row>
    <row r="258">
      <c r="F258" s="10"/>
      <c r="G258" s="10"/>
      <c r="N258" s="10"/>
    </row>
    <row r="259">
      <c r="F259" s="10"/>
      <c r="G259" s="10"/>
      <c r="N259" s="10"/>
    </row>
    <row r="260">
      <c r="F260" s="10"/>
      <c r="G260" s="10"/>
      <c r="N260" s="10"/>
    </row>
    <row r="261">
      <c r="F261" s="10"/>
      <c r="G261" s="10"/>
      <c r="N261" s="10"/>
    </row>
    <row r="262">
      <c r="F262" s="10"/>
      <c r="G262" s="10"/>
      <c r="N262" s="10"/>
    </row>
    <row r="263">
      <c r="F263" s="10"/>
      <c r="G263" s="10"/>
      <c r="N263" s="10"/>
    </row>
    <row r="264">
      <c r="F264" s="10"/>
      <c r="G264" s="10"/>
      <c r="N264" s="10"/>
    </row>
    <row r="265">
      <c r="F265" s="10"/>
      <c r="G265" s="10"/>
      <c r="N265" s="10"/>
    </row>
    <row r="266">
      <c r="F266" s="10"/>
      <c r="G266" s="10"/>
      <c r="N266" s="10"/>
    </row>
    <row r="267">
      <c r="F267" s="10"/>
      <c r="G267" s="10"/>
      <c r="N267" s="10"/>
    </row>
    <row r="268">
      <c r="F268" s="10"/>
      <c r="G268" s="10"/>
      <c r="N268" s="10"/>
    </row>
    <row r="269">
      <c r="F269" s="10"/>
      <c r="G269" s="10"/>
      <c r="N269" s="10"/>
    </row>
    <row r="270">
      <c r="F270" s="10"/>
      <c r="G270" s="10"/>
      <c r="N270" s="10"/>
    </row>
    <row r="271">
      <c r="F271" s="10"/>
      <c r="G271" s="10"/>
      <c r="N271" s="10"/>
    </row>
    <row r="272">
      <c r="F272" s="10"/>
      <c r="G272" s="10"/>
      <c r="N272" s="10"/>
    </row>
    <row r="273">
      <c r="F273" s="10"/>
      <c r="G273" s="10"/>
      <c r="N273" s="10"/>
    </row>
    <row r="274">
      <c r="F274" s="10"/>
      <c r="G274" s="10"/>
      <c r="N274" s="10"/>
    </row>
    <row r="275">
      <c r="F275" s="10"/>
      <c r="G275" s="10"/>
      <c r="N275" s="10"/>
    </row>
    <row r="276">
      <c r="F276" s="10"/>
      <c r="G276" s="10"/>
      <c r="N276" s="10"/>
    </row>
    <row r="277">
      <c r="F277" s="10"/>
      <c r="G277" s="10"/>
      <c r="N277" s="10"/>
    </row>
    <row r="278">
      <c r="F278" s="10"/>
      <c r="G278" s="10"/>
      <c r="N278" s="10"/>
    </row>
    <row r="279">
      <c r="F279" s="10"/>
      <c r="G279" s="10"/>
      <c r="N279" s="10"/>
    </row>
    <row r="280">
      <c r="F280" s="10"/>
      <c r="G280" s="10"/>
      <c r="N280" s="10"/>
    </row>
    <row r="281">
      <c r="F281" s="10"/>
      <c r="G281" s="10"/>
      <c r="N281" s="10"/>
    </row>
    <row r="282">
      <c r="F282" s="10"/>
      <c r="G282" s="10"/>
      <c r="N282" s="10"/>
    </row>
    <row r="283">
      <c r="F283" s="10"/>
      <c r="G283" s="10"/>
      <c r="N283" s="10"/>
    </row>
    <row r="284">
      <c r="F284" s="10"/>
      <c r="G284" s="10"/>
      <c r="N284" s="10"/>
    </row>
    <row r="285">
      <c r="F285" s="10"/>
      <c r="G285" s="10"/>
      <c r="N285" s="10"/>
    </row>
    <row r="286">
      <c r="F286" s="10"/>
      <c r="G286" s="10"/>
      <c r="N286" s="10"/>
    </row>
    <row r="287">
      <c r="F287" s="10"/>
      <c r="G287" s="10"/>
      <c r="N287" s="10"/>
    </row>
    <row r="288">
      <c r="F288" s="10"/>
      <c r="G288" s="10"/>
      <c r="N288" s="10"/>
    </row>
    <row r="289">
      <c r="F289" s="10"/>
      <c r="G289" s="10"/>
      <c r="N289" s="10"/>
    </row>
    <row r="290">
      <c r="F290" s="10"/>
      <c r="G290" s="10"/>
      <c r="N290" s="10"/>
    </row>
    <row r="291">
      <c r="F291" s="10"/>
      <c r="G291" s="10"/>
      <c r="N291" s="10"/>
    </row>
    <row r="292">
      <c r="F292" s="10"/>
      <c r="G292" s="10"/>
      <c r="N292" s="10"/>
    </row>
    <row r="293">
      <c r="F293" s="10"/>
      <c r="G293" s="10"/>
      <c r="N293" s="10"/>
    </row>
    <row r="294">
      <c r="F294" s="10"/>
      <c r="G294" s="10"/>
      <c r="N294" s="10"/>
    </row>
    <row r="295">
      <c r="F295" s="10"/>
      <c r="G295" s="10"/>
      <c r="N295" s="10"/>
    </row>
    <row r="296">
      <c r="F296" s="10"/>
      <c r="G296" s="10"/>
      <c r="N296" s="10"/>
    </row>
    <row r="297">
      <c r="F297" s="10"/>
      <c r="G297" s="10"/>
      <c r="N297" s="10"/>
    </row>
    <row r="298">
      <c r="F298" s="10"/>
      <c r="G298" s="10"/>
      <c r="N298" s="10"/>
    </row>
    <row r="299">
      <c r="F299" s="10"/>
      <c r="G299" s="10"/>
      <c r="N299" s="10"/>
    </row>
    <row r="300">
      <c r="F300" s="10"/>
      <c r="G300" s="10"/>
      <c r="N300" s="10"/>
    </row>
    <row r="301">
      <c r="F301" s="10"/>
      <c r="G301" s="10"/>
      <c r="N301" s="10"/>
    </row>
    <row r="302">
      <c r="F302" s="10"/>
      <c r="G302" s="10"/>
      <c r="N302" s="10"/>
    </row>
    <row r="303">
      <c r="F303" s="10"/>
      <c r="G303" s="10"/>
      <c r="N303" s="10"/>
    </row>
    <row r="304">
      <c r="F304" s="10"/>
      <c r="G304" s="10"/>
      <c r="N304" s="10"/>
    </row>
    <row r="305">
      <c r="F305" s="10"/>
      <c r="G305" s="10"/>
      <c r="N305" s="10"/>
    </row>
    <row r="306">
      <c r="F306" s="10"/>
      <c r="G306" s="10"/>
      <c r="N306" s="10"/>
    </row>
    <row r="307">
      <c r="F307" s="10"/>
      <c r="G307" s="10"/>
      <c r="N307" s="10"/>
    </row>
    <row r="308">
      <c r="F308" s="10"/>
      <c r="G308" s="10"/>
      <c r="N308" s="10"/>
    </row>
    <row r="309">
      <c r="F309" s="10"/>
      <c r="G309" s="10"/>
      <c r="N309" s="10"/>
    </row>
    <row r="310">
      <c r="F310" s="10"/>
      <c r="G310" s="10"/>
      <c r="N310" s="10"/>
    </row>
    <row r="311">
      <c r="F311" s="10"/>
      <c r="G311" s="10"/>
      <c r="N311" s="10"/>
    </row>
    <row r="312">
      <c r="F312" s="10"/>
      <c r="G312" s="10"/>
      <c r="N312" s="10"/>
    </row>
    <row r="313">
      <c r="F313" s="10"/>
      <c r="G313" s="10"/>
      <c r="N313" s="10"/>
    </row>
    <row r="314">
      <c r="F314" s="10"/>
      <c r="G314" s="10"/>
      <c r="N314" s="10"/>
    </row>
    <row r="315">
      <c r="F315" s="10"/>
      <c r="G315" s="10"/>
      <c r="N315" s="10"/>
    </row>
    <row r="316">
      <c r="F316" s="10"/>
      <c r="G316" s="10"/>
      <c r="N316" s="10"/>
    </row>
    <row r="317">
      <c r="F317" s="10"/>
      <c r="G317" s="10"/>
      <c r="N317" s="10"/>
    </row>
    <row r="318">
      <c r="F318" s="10"/>
      <c r="G318" s="10"/>
      <c r="N318" s="10"/>
    </row>
    <row r="319">
      <c r="F319" s="10"/>
      <c r="G319" s="10"/>
      <c r="N319" s="10"/>
    </row>
    <row r="320">
      <c r="F320" s="10"/>
      <c r="G320" s="10"/>
      <c r="N320" s="10"/>
    </row>
    <row r="321">
      <c r="F321" s="10"/>
      <c r="G321" s="10"/>
      <c r="N321" s="10"/>
    </row>
    <row r="322">
      <c r="F322" s="10"/>
      <c r="G322" s="10"/>
      <c r="N322" s="10"/>
    </row>
    <row r="323">
      <c r="F323" s="10"/>
      <c r="G323" s="10"/>
      <c r="N323" s="10"/>
    </row>
    <row r="324">
      <c r="F324" s="10"/>
      <c r="G324" s="10"/>
      <c r="N324" s="10"/>
    </row>
    <row r="325">
      <c r="F325" s="10"/>
      <c r="G325" s="10"/>
      <c r="N325" s="10"/>
    </row>
    <row r="326">
      <c r="F326" s="10"/>
      <c r="G326" s="10"/>
      <c r="N326" s="10"/>
    </row>
    <row r="327">
      <c r="F327" s="10"/>
      <c r="G327" s="10"/>
      <c r="N327" s="10"/>
    </row>
    <row r="328">
      <c r="F328" s="10"/>
      <c r="G328" s="10"/>
      <c r="N328" s="10"/>
    </row>
    <row r="329">
      <c r="F329" s="10"/>
      <c r="G329" s="10"/>
      <c r="N329" s="10"/>
    </row>
    <row r="330">
      <c r="F330" s="10"/>
      <c r="G330" s="10"/>
      <c r="N330" s="10"/>
    </row>
    <row r="331">
      <c r="F331" s="10"/>
      <c r="G331" s="10"/>
      <c r="N331" s="10"/>
    </row>
    <row r="332">
      <c r="F332" s="10"/>
      <c r="G332" s="10"/>
      <c r="N332" s="10"/>
    </row>
    <row r="333">
      <c r="F333" s="10"/>
      <c r="G333" s="10"/>
      <c r="N333" s="10"/>
    </row>
    <row r="334">
      <c r="F334" s="10"/>
      <c r="G334" s="10"/>
      <c r="N334" s="10"/>
    </row>
    <row r="335">
      <c r="F335" s="10"/>
      <c r="G335" s="10"/>
      <c r="N335" s="10"/>
    </row>
    <row r="336">
      <c r="F336" s="10"/>
      <c r="G336" s="10"/>
      <c r="N336" s="10"/>
    </row>
    <row r="337">
      <c r="F337" s="10"/>
      <c r="G337" s="10"/>
      <c r="N337" s="10"/>
    </row>
    <row r="338">
      <c r="F338" s="10"/>
      <c r="G338" s="10"/>
      <c r="N338" s="10"/>
    </row>
    <row r="339">
      <c r="F339" s="10"/>
      <c r="G339" s="10"/>
      <c r="N339" s="10"/>
    </row>
    <row r="340">
      <c r="F340" s="10"/>
      <c r="G340" s="10"/>
      <c r="N340" s="10"/>
    </row>
    <row r="341">
      <c r="F341" s="10"/>
      <c r="G341" s="10"/>
      <c r="N341" s="10"/>
    </row>
    <row r="342">
      <c r="F342" s="10"/>
      <c r="G342" s="10"/>
      <c r="N342" s="10"/>
    </row>
    <row r="343">
      <c r="F343" s="10"/>
      <c r="G343" s="10"/>
      <c r="N343" s="10"/>
    </row>
    <row r="344">
      <c r="F344" s="10"/>
      <c r="G344" s="10"/>
      <c r="N344" s="10"/>
    </row>
    <row r="345">
      <c r="F345" s="10"/>
      <c r="G345" s="10"/>
      <c r="N345" s="10"/>
    </row>
    <row r="346">
      <c r="F346" s="10"/>
      <c r="G346" s="10"/>
      <c r="N346" s="10"/>
    </row>
    <row r="347">
      <c r="F347" s="10"/>
      <c r="G347" s="10"/>
      <c r="N347" s="10"/>
    </row>
    <row r="348">
      <c r="F348" s="10"/>
      <c r="G348" s="10"/>
      <c r="N348" s="10"/>
    </row>
    <row r="349">
      <c r="F349" s="10"/>
      <c r="G349" s="10"/>
      <c r="N349" s="10"/>
    </row>
    <row r="350">
      <c r="F350" s="10"/>
      <c r="G350" s="10"/>
      <c r="N350" s="10"/>
    </row>
    <row r="351">
      <c r="F351" s="10"/>
      <c r="G351" s="10"/>
      <c r="N351" s="10"/>
    </row>
    <row r="352">
      <c r="F352" s="10"/>
      <c r="G352" s="10"/>
      <c r="N352" s="10"/>
    </row>
    <row r="353">
      <c r="F353" s="10"/>
      <c r="G353" s="10"/>
      <c r="N353" s="10"/>
    </row>
    <row r="354">
      <c r="F354" s="10"/>
      <c r="G354" s="10"/>
      <c r="N354" s="10"/>
    </row>
    <row r="355">
      <c r="F355" s="10"/>
      <c r="G355" s="10"/>
      <c r="N355" s="10"/>
    </row>
    <row r="356">
      <c r="F356" s="10"/>
      <c r="G356" s="10"/>
      <c r="N356" s="10"/>
    </row>
    <row r="357">
      <c r="F357" s="10"/>
      <c r="G357" s="10"/>
      <c r="N357" s="10"/>
    </row>
    <row r="358">
      <c r="F358" s="10"/>
      <c r="G358" s="10"/>
      <c r="N358" s="10"/>
    </row>
    <row r="359">
      <c r="F359" s="10"/>
      <c r="G359" s="10"/>
      <c r="N359" s="10"/>
    </row>
    <row r="360">
      <c r="F360" s="10"/>
      <c r="G360" s="10"/>
      <c r="N360" s="10"/>
    </row>
    <row r="361">
      <c r="F361" s="10"/>
      <c r="G361" s="10"/>
      <c r="N361" s="10"/>
    </row>
    <row r="362">
      <c r="F362" s="10"/>
      <c r="G362" s="10"/>
      <c r="N362" s="10"/>
    </row>
    <row r="363">
      <c r="F363" s="10"/>
      <c r="G363" s="10"/>
      <c r="N363" s="10"/>
    </row>
    <row r="364">
      <c r="F364" s="10"/>
      <c r="G364" s="10"/>
      <c r="N364" s="10"/>
    </row>
    <row r="365">
      <c r="F365" s="10"/>
      <c r="G365" s="10"/>
      <c r="N365" s="10"/>
    </row>
    <row r="366">
      <c r="F366" s="10"/>
      <c r="G366" s="10"/>
      <c r="N366" s="10"/>
    </row>
    <row r="367">
      <c r="F367" s="10"/>
      <c r="G367" s="10"/>
      <c r="N367" s="10"/>
    </row>
    <row r="368">
      <c r="F368" s="10"/>
      <c r="G368" s="10"/>
      <c r="N368" s="10"/>
    </row>
    <row r="369">
      <c r="F369" s="10"/>
      <c r="G369" s="10"/>
      <c r="N369" s="10"/>
    </row>
    <row r="370">
      <c r="F370" s="10"/>
      <c r="G370" s="10"/>
      <c r="N370" s="10"/>
    </row>
    <row r="371">
      <c r="F371" s="10"/>
      <c r="G371" s="10"/>
      <c r="N371" s="10"/>
    </row>
    <row r="372">
      <c r="F372" s="10"/>
      <c r="G372" s="10"/>
      <c r="N372" s="10"/>
    </row>
    <row r="373">
      <c r="F373" s="10"/>
      <c r="G373" s="10"/>
      <c r="N373" s="10"/>
    </row>
    <row r="374">
      <c r="F374" s="10"/>
      <c r="G374" s="10"/>
      <c r="N374" s="10"/>
    </row>
    <row r="375">
      <c r="F375" s="10"/>
      <c r="G375" s="10"/>
      <c r="N375" s="10"/>
    </row>
    <row r="376">
      <c r="F376" s="10"/>
      <c r="G376" s="10"/>
      <c r="N376" s="10"/>
    </row>
    <row r="377">
      <c r="F377" s="10"/>
      <c r="G377" s="10"/>
      <c r="N377" s="10"/>
    </row>
    <row r="378">
      <c r="F378" s="10"/>
      <c r="G378" s="10"/>
      <c r="N378" s="10"/>
    </row>
    <row r="379">
      <c r="F379" s="10"/>
      <c r="G379" s="10"/>
      <c r="N379" s="10"/>
    </row>
    <row r="380">
      <c r="F380" s="10"/>
      <c r="G380" s="10"/>
      <c r="N380" s="10"/>
    </row>
    <row r="381">
      <c r="F381" s="10"/>
      <c r="G381" s="10"/>
      <c r="N381" s="10"/>
    </row>
    <row r="382">
      <c r="F382" s="10"/>
      <c r="G382" s="10"/>
      <c r="N382" s="10"/>
    </row>
    <row r="383">
      <c r="F383" s="10"/>
      <c r="G383" s="10"/>
      <c r="N383" s="10"/>
    </row>
    <row r="384">
      <c r="F384" s="10"/>
      <c r="G384" s="10"/>
      <c r="N384" s="10"/>
    </row>
    <row r="385">
      <c r="F385" s="10"/>
      <c r="G385" s="10"/>
      <c r="N385" s="10"/>
    </row>
    <row r="386">
      <c r="F386" s="10"/>
      <c r="G386" s="10"/>
      <c r="N386" s="10"/>
    </row>
    <row r="387">
      <c r="F387" s="10"/>
      <c r="G387" s="10"/>
      <c r="N387" s="10"/>
    </row>
    <row r="388">
      <c r="F388" s="10"/>
      <c r="G388" s="10"/>
      <c r="N388" s="10"/>
    </row>
    <row r="389">
      <c r="F389" s="10"/>
      <c r="G389" s="10"/>
      <c r="N389" s="10"/>
    </row>
    <row r="390">
      <c r="F390" s="10"/>
      <c r="G390" s="10"/>
      <c r="N390" s="10"/>
    </row>
    <row r="391">
      <c r="F391" s="10"/>
      <c r="G391" s="10"/>
      <c r="N391" s="10"/>
    </row>
    <row r="392">
      <c r="F392" s="10"/>
      <c r="G392" s="10"/>
      <c r="N392" s="10"/>
    </row>
    <row r="393">
      <c r="F393" s="10"/>
      <c r="G393" s="10"/>
      <c r="N393" s="10"/>
    </row>
    <row r="394">
      <c r="F394" s="10"/>
      <c r="G394" s="10"/>
      <c r="N394" s="10"/>
    </row>
    <row r="395">
      <c r="F395" s="10"/>
      <c r="G395" s="10"/>
      <c r="N395" s="10"/>
    </row>
    <row r="396">
      <c r="F396" s="10"/>
      <c r="G396" s="10"/>
      <c r="N396" s="10"/>
    </row>
    <row r="397">
      <c r="F397" s="10"/>
      <c r="G397" s="10"/>
      <c r="N397" s="10"/>
    </row>
    <row r="398">
      <c r="F398" s="10"/>
      <c r="G398" s="10"/>
      <c r="N398" s="10"/>
    </row>
    <row r="399">
      <c r="F399" s="10"/>
      <c r="G399" s="10"/>
      <c r="N399" s="10"/>
    </row>
    <row r="400">
      <c r="F400" s="10"/>
      <c r="G400" s="10"/>
      <c r="N400" s="10"/>
    </row>
    <row r="401">
      <c r="F401" s="10"/>
      <c r="G401" s="10"/>
      <c r="N401" s="10"/>
    </row>
    <row r="402">
      <c r="F402" s="10"/>
      <c r="G402" s="10"/>
      <c r="N402" s="10"/>
    </row>
    <row r="403">
      <c r="F403" s="10"/>
      <c r="G403" s="10"/>
      <c r="N403" s="10"/>
    </row>
    <row r="404">
      <c r="F404" s="10"/>
      <c r="G404" s="10"/>
      <c r="N404" s="10"/>
    </row>
    <row r="405">
      <c r="F405" s="10"/>
      <c r="G405" s="10"/>
      <c r="N405" s="10"/>
    </row>
    <row r="406">
      <c r="F406" s="10"/>
      <c r="G406" s="10"/>
      <c r="N406" s="10"/>
    </row>
    <row r="407">
      <c r="F407" s="10"/>
      <c r="G407" s="10"/>
      <c r="N407" s="10"/>
    </row>
    <row r="408">
      <c r="F408" s="10"/>
      <c r="G408" s="10"/>
      <c r="N408" s="10"/>
    </row>
    <row r="409">
      <c r="F409" s="10"/>
      <c r="G409" s="10"/>
      <c r="N409" s="10"/>
    </row>
    <row r="410">
      <c r="F410" s="10"/>
      <c r="G410" s="10"/>
      <c r="N410" s="10"/>
    </row>
    <row r="411">
      <c r="F411" s="10"/>
      <c r="G411" s="10"/>
      <c r="N411" s="10"/>
    </row>
    <row r="412">
      <c r="F412" s="10"/>
      <c r="G412" s="10"/>
      <c r="N412" s="10"/>
    </row>
    <row r="413">
      <c r="F413" s="10"/>
      <c r="G413" s="10"/>
      <c r="N413" s="10"/>
    </row>
    <row r="414">
      <c r="F414" s="10"/>
      <c r="G414" s="10"/>
      <c r="N414" s="10"/>
    </row>
    <row r="415">
      <c r="F415" s="10"/>
      <c r="G415" s="10"/>
      <c r="N415" s="10"/>
    </row>
    <row r="416">
      <c r="F416" s="10"/>
      <c r="G416" s="10"/>
      <c r="N416" s="10"/>
    </row>
    <row r="417">
      <c r="F417" s="10"/>
      <c r="G417" s="10"/>
      <c r="N417" s="10"/>
    </row>
    <row r="418">
      <c r="F418" s="10"/>
      <c r="G418" s="10"/>
      <c r="N418" s="10"/>
    </row>
    <row r="419">
      <c r="F419" s="10"/>
      <c r="G419" s="10"/>
      <c r="N419" s="10"/>
    </row>
    <row r="420">
      <c r="F420" s="10"/>
      <c r="G420" s="10"/>
      <c r="N420" s="10"/>
    </row>
    <row r="421">
      <c r="F421" s="10"/>
      <c r="G421" s="10"/>
      <c r="N421" s="10"/>
    </row>
    <row r="422">
      <c r="F422" s="10"/>
      <c r="G422" s="10"/>
      <c r="N422" s="10"/>
    </row>
    <row r="423">
      <c r="F423" s="10"/>
      <c r="G423" s="10"/>
      <c r="N423" s="10"/>
    </row>
    <row r="424">
      <c r="F424" s="10"/>
      <c r="G424" s="10"/>
      <c r="N424" s="10"/>
    </row>
    <row r="425">
      <c r="F425" s="10"/>
      <c r="G425" s="10"/>
      <c r="N425" s="10"/>
    </row>
    <row r="426">
      <c r="F426" s="10"/>
      <c r="G426" s="10"/>
      <c r="N426" s="10"/>
    </row>
    <row r="427">
      <c r="F427" s="10"/>
      <c r="G427" s="10"/>
      <c r="N427" s="10"/>
    </row>
    <row r="428">
      <c r="F428" s="10"/>
      <c r="G428" s="10"/>
      <c r="N428" s="10"/>
    </row>
    <row r="429">
      <c r="F429" s="10"/>
      <c r="G429" s="10"/>
      <c r="N429" s="10"/>
    </row>
    <row r="430">
      <c r="F430" s="10"/>
      <c r="G430" s="10"/>
      <c r="N430" s="10"/>
    </row>
    <row r="431">
      <c r="F431" s="10"/>
      <c r="G431" s="10"/>
      <c r="N431" s="10"/>
    </row>
    <row r="432">
      <c r="F432" s="10"/>
      <c r="G432" s="10"/>
      <c r="N432" s="10"/>
    </row>
    <row r="433">
      <c r="F433" s="10"/>
      <c r="G433" s="10"/>
      <c r="N433" s="10"/>
    </row>
    <row r="434">
      <c r="F434" s="10"/>
      <c r="G434" s="10"/>
      <c r="N434" s="10"/>
    </row>
    <row r="435">
      <c r="F435" s="10"/>
      <c r="G435" s="10"/>
      <c r="N435" s="10"/>
    </row>
    <row r="436">
      <c r="F436" s="10"/>
      <c r="G436" s="10"/>
      <c r="N436" s="10"/>
    </row>
    <row r="437">
      <c r="F437" s="10"/>
      <c r="G437" s="10"/>
      <c r="N437" s="10"/>
    </row>
    <row r="438">
      <c r="F438" s="10"/>
      <c r="G438" s="10"/>
      <c r="N438" s="10"/>
    </row>
    <row r="439">
      <c r="F439" s="10"/>
      <c r="G439" s="10"/>
      <c r="N439" s="10"/>
    </row>
    <row r="440">
      <c r="F440" s="10"/>
      <c r="G440" s="10"/>
      <c r="N440" s="10"/>
    </row>
    <row r="441">
      <c r="F441" s="10"/>
      <c r="G441" s="10"/>
      <c r="N441" s="10"/>
    </row>
    <row r="442">
      <c r="F442" s="10"/>
      <c r="G442" s="10"/>
      <c r="N442" s="10"/>
    </row>
    <row r="443">
      <c r="F443" s="10"/>
      <c r="G443" s="10"/>
      <c r="N443" s="10"/>
    </row>
    <row r="444">
      <c r="F444" s="10"/>
      <c r="G444" s="10"/>
      <c r="N444" s="10"/>
    </row>
    <row r="445">
      <c r="F445" s="10"/>
      <c r="G445" s="10"/>
      <c r="N445" s="10"/>
    </row>
    <row r="446">
      <c r="F446" s="10"/>
      <c r="G446" s="10"/>
      <c r="N446" s="10"/>
    </row>
    <row r="447">
      <c r="F447" s="10"/>
      <c r="G447" s="10"/>
      <c r="N447" s="10"/>
    </row>
    <row r="448">
      <c r="F448" s="10"/>
      <c r="G448" s="10"/>
      <c r="N448" s="10"/>
    </row>
    <row r="449">
      <c r="F449" s="10"/>
      <c r="G449" s="10"/>
      <c r="N449" s="10"/>
    </row>
    <row r="450">
      <c r="F450" s="10"/>
      <c r="G450" s="10"/>
      <c r="N450" s="10"/>
    </row>
    <row r="451">
      <c r="F451" s="10"/>
      <c r="G451" s="10"/>
      <c r="N451" s="10"/>
    </row>
    <row r="452">
      <c r="F452" s="10"/>
      <c r="G452" s="10"/>
      <c r="N452" s="10"/>
    </row>
    <row r="453">
      <c r="F453" s="10"/>
      <c r="G453" s="10"/>
      <c r="N453" s="10"/>
    </row>
    <row r="454">
      <c r="F454" s="10"/>
      <c r="G454" s="10"/>
      <c r="N454" s="10"/>
    </row>
    <row r="455">
      <c r="F455" s="10"/>
      <c r="G455" s="10"/>
      <c r="N455" s="10"/>
    </row>
    <row r="456">
      <c r="F456" s="10"/>
      <c r="G456" s="10"/>
      <c r="N456" s="10"/>
    </row>
    <row r="457">
      <c r="F457" s="10"/>
      <c r="G457" s="10"/>
      <c r="N457" s="10"/>
    </row>
    <row r="458">
      <c r="F458" s="10"/>
      <c r="G458" s="10"/>
      <c r="N458" s="10"/>
    </row>
    <row r="459">
      <c r="F459" s="10"/>
      <c r="G459" s="10"/>
      <c r="N459" s="10"/>
    </row>
    <row r="460">
      <c r="F460" s="10"/>
      <c r="G460" s="10"/>
      <c r="N460" s="10"/>
    </row>
    <row r="461">
      <c r="F461" s="10"/>
      <c r="G461" s="10"/>
      <c r="N461" s="10"/>
    </row>
    <row r="462">
      <c r="F462" s="10"/>
      <c r="G462" s="10"/>
      <c r="N462" s="10"/>
    </row>
    <row r="463">
      <c r="F463" s="10"/>
      <c r="G463" s="10"/>
      <c r="N463" s="10"/>
    </row>
    <row r="464">
      <c r="F464" s="10"/>
      <c r="G464" s="10"/>
      <c r="N464" s="10"/>
    </row>
    <row r="465">
      <c r="F465" s="10"/>
      <c r="G465" s="10"/>
      <c r="N465" s="10"/>
    </row>
    <row r="466">
      <c r="F466" s="10"/>
      <c r="G466" s="10"/>
      <c r="N466" s="10"/>
    </row>
    <row r="467">
      <c r="F467" s="10"/>
      <c r="G467" s="10"/>
      <c r="N467" s="10"/>
    </row>
    <row r="468">
      <c r="F468" s="10"/>
      <c r="G468" s="10"/>
      <c r="N468" s="10"/>
    </row>
    <row r="469">
      <c r="F469" s="10"/>
      <c r="G469" s="10"/>
      <c r="N469" s="10"/>
    </row>
    <row r="470">
      <c r="F470" s="10"/>
      <c r="G470" s="10"/>
      <c r="N470" s="10"/>
    </row>
    <row r="471">
      <c r="F471" s="10"/>
      <c r="G471" s="10"/>
      <c r="N471" s="10"/>
    </row>
    <row r="472">
      <c r="F472" s="10"/>
      <c r="G472" s="10"/>
      <c r="N472" s="10"/>
    </row>
    <row r="473">
      <c r="F473" s="10"/>
      <c r="G473" s="10"/>
      <c r="N473" s="10"/>
    </row>
    <row r="474">
      <c r="F474" s="10"/>
      <c r="G474" s="10"/>
      <c r="N474" s="10"/>
    </row>
    <row r="475">
      <c r="F475" s="10"/>
      <c r="G475" s="10"/>
      <c r="N475" s="10"/>
    </row>
    <row r="476">
      <c r="F476" s="10"/>
      <c r="G476" s="10"/>
      <c r="N476" s="10"/>
    </row>
    <row r="477">
      <c r="F477" s="10"/>
      <c r="G477" s="10"/>
      <c r="N477" s="10"/>
    </row>
    <row r="478">
      <c r="F478" s="10"/>
      <c r="G478" s="10"/>
      <c r="N478" s="10"/>
    </row>
    <row r="479">
      <c r="F479" s="10"/>
      <c r="G479" s="10"/>
      <c r="N479" s="10"/>
    </row>
    <row r="480">
      <c r="F480" s="10"/>
      <c r="G480" s="10"/>
      <c r="N480" s="10"/>
    </row>
    <row r="481">
      <c r="F481" s="10"/>
      <c r="G481" s="10"/>
      <c r="N481" s="10"/>
    </row>
    <row r="482">
      <c r="F482" s="10"/>
      <c r="G482" s="10"/>
      <c r="N482" s="10"/>
    </row>
    <row r="483">
      <c r="F483" s="10"/>
      <c r="G483" s="10"/>
      <c r="N483" s="10"/>
    </row>
    <row r="484">
      <c r="F484" s="10"/>
      <c r="G484" s="10"/>
      <c r="N484" s="10"/>
    </row>
    <row r="485">
      <c r="F485" s="10"/>
      <c r="G485" s="10"/>
      <c r="N485" s="10"/>
    </row>
    <row r="486">
      <c r="F486" s="10"/>
      <c r="G486" s="10"/>
      <c r="N486" s="10"/>
    </row>
    <row r="487">
      <c r="F487" s="10"/>
      <c r="G487" s="10"/>
      <c r="N487" s="10"/>
    </row>
    <row r="488">
      <c r="F488" s="10"/>
      <c r="G488" s="10"/>
      <c r="N488" s="10"/>
    </row>
    <row r="489">
      <c r="F489" s="10"/>
      <c r="G489" s="10"/>
      <c r="N489" s="10"/>
    </row>
    <row r="490">
      <c r="F490" s="10"/>
      <c r="G490" s="10"/>
      <c r="N490" s="10"/>
    </row>
    <row r="491">
      <c r="F491" s="10"/>
      <c r="G491" s="10"/>
      <c r="N491" s="10"/>
    </row>
    <row r="492">
      <c r="F492" s="10"/>
      <c r="G492" s="10"/>
      <c r="N492" s="10"/>
    </row>
    <row r="493">
      <c r="F493" s="10"/>
      <c r="G493" s="10"/>
      <c r="N493" s="10"/>
    </row>
    <row r="494">
      <c r="F494" s="10"/>
      <c r="G494" s="10"/>
      <c r="N494" s="10"/>
    </row>
    <row r="495">
      <c r="F495" s="10"/>
      <c r="G495" s="10"/>
      <c r="N495" s="10"/>
    </row>
    <row r="496">
      <c r="F496" s="10"/>
      <c r="G496" s="10"/>
      <c r="N496" s="10"/>
    </row>
    <row r="497">
      <c r="F497" s="10"/>
      <c r="G497" s="10"/>
      <c r="N497" s="10"/>
    </row>
    <row r="498">
      <c r="F498" s="10"/>
      <c r="G498" s="10"/>
      <c r="N498" s="10"/>
    </row>
    <row r="499">
      <c r="F499" s="10"/>
      <c r="G499" s="10"/>
      <c r="N499" s="10"/>
    </row>
    <row r="500">
      <c r="F500" s="10"/>
      <c r="G500" s="10"/>
      <c r="N500" s="10"/>
    </row>
    <row r="501">
      <c r="F501" s="10"/>
      <c r="G501" s="10"/>
      <c r="N501" s="10"/>
    </row>
    <row r="502">
      <c r="F502" s="10"/>
      <c r="G502" s="10"/>
      <c r="N502" s="10"/>
    </row>
    <row r="503">
      <c r="F503" s="10"/>
      <c r="G503" s="10"/>
      <c r="N503" s="10"/>
    </row>
    <row r="504">
      <c r="F504" s="10"/>
      <c r="G504" s="10"/>
      <c r="N504" s="10"/>
    </row>
    <row r="505">
      <c r="F505" s="10"/>
      <c r="G505" s="10"/>
      <c r="N505" s="10"/>
    </row>
    <row r="506">
      <c r="F506" s="10"/>
      <c r="G506" s="10"/>
      <c r="N506" s="10"/>
    </row>
    <row r="507">
      <c r="F507" s="10"/>
      <c r="G507" s="10"/>
      <c r="N507" s="10"/>
    </row>
    <row r="508">
      <c r="F508" s="10"/>
      <c r="G508" s="10"/>
      <c r="N508" s="10"/>
    </row>
    <row r="509">
      <c r="F509" s="10"/>
      <c r="G509" s="10"/>
      <c r="N509" s="10"/>
    </row>
    <row r="510">
      <c r="F510" s="10"/>
      <c r="G510" s="10"/>
      <c r="N510" s="10"/>
    </row>
    <row r="511">
      <c r="F511" s="10"/>
      <c r="G511" s="10"/>
      <c r="N511" s="10"/>
    </row>
    <row r="512">
      <c r="F512" s="10"/>
      <c r="G512" s="10"/>
      <c r="N512" s="10"/>
    </row>
    <row r="513">
      <c r="F513" s="10"/>
      <c r="G513" s="10"/>
      <c r="N513" s="10"/>
    </row>
    <row r="514">
      <c r="F514" s="10"/>
      <c r="G514" s="10"/>
      <c r="N514" s="10"/>
    </row>
    <row r="515">
      <c r="F515" s="10"/>
      <c r="G515" s="10"/>
      <c r="N515" s="10"/>
    </row>
    <row r="516">
      <c r="F516" s="10"/>
      <c r="G516" s="10"/>
      <c r="N516" s="10"/>
    </row>
    <row r="517">
      <c r="F517" s="10"/>
      <c r="G517" s="10"/>
      <c r="N517" s="10"/>
    </row>
    <row r="518">
      <c r="F518" s="10"/>
      <c r="G518" s="10"/>
      <c r="N518" s="10"/>
    </row>
    <row r="519">
      <c r="F519" s="10"/>
      <c r="G519" s="10"/>
      <c r="N519" s="10"/>
    </row>
    <row r="520">
      <c r="F520" s="10"/>
      <c r="G520" s="10"/>
      <c r="N520" s="10"/>
    </row>
    <row r="521">
      <c r="F521" s="10"/>
      <c r="G521" s="10"/>
      <c r="N521" s="10"/>
    </row>
    <row r="522">
      <c r="F522" s="10"/>
      <c r="G522" s="10"/>
      <c r="N522" s="10"/>
    </row>
    <row r="523">
      <c r="F523" s="10"/>
      <c r="G523" s="10"/>
      <c r="N523" s="10"/>
    </row>
    <row r="524">
      <c r="F524" s="10"/>
      <c r="G524" s="10"/>
      <c r="N524" s="10"/>
    </row>
    <row r="525">
      <c r="F525" s="10"/>
      <c r="G525" s="10"/>
      <c r="N525" s="10"/>
    </row>
    <row r="526">
      <c r="F526" s="10"/>
      <c r="G526" s="10"/>
      <c r="N526" s="10"/>
    </row>
    <row r="527">
      <c r="F527" s="10"/>
      <c r="G527" s="10"/>
      <c r="N527" s="10"/>
    </row>
    <row r="528">
      <c r="F528" s="10"/>
      <c r="G528" s="10"/>
      <c r="N528" s="10"/>
    </row>
    <row r="529">
      <c r="F529" s="10"/>
      <c r="G529" s="10"/>
      <c r="N529" s="10"/>
    </row>
    <row r="530">
      <c r="F530" s="10"/>
      <c r="G530" s="10"/>
      <c r="N530" s="10"/>
    </row>
    <row r="531">
      <c r="F531" s="10"/>
      <c r="G531" s="10"/>
      <c r="N531" s="10"/>
    </row>
    <row r="532">
      <c r="F532" s="10"/>
      <c r="G532" s="10"/>
      <c r="N532" s="10"/>
    </row>
    <row r="533">
      <c r="F533" s="10"/>
      <c r="G533" s="10"/>
      <c r="N533" s="10"/>
    </row>
    <row r="534">
      <c r="F534" s="10"/>
      <c r="G534" s="10"/>
      <c r="N534" s="10"/>
    </row>
    <row r="535">
      <c r="F535" s="10"/>
      <c r="G535" s="10"/>
      <c r="N535" s="10"/>
    </row>
    <row r="536">
      <c r="F536" s="10"/>
      <c r="G536" s="10"/>
      <c r="N536" s="10"/>
    </row>
    <row r="537">
      <c r="F537" s="10"/>
      <c r="G537" s="10"/>
      <c r="N537" s="10"/>
    </row>
    <row r="538">
      <c r="F538" s="10"/>
      <c r="G538" s="10"/>
      <c r="N538" s="10"/>
    </row>
    <row r="539">
      <c r="F539" s="10"/>
      <c r="G539" s="10"/>
      <c r="N539" s="10"/>
    </row>
    <row r="540">
      <c r="F540" s="10"/>
      <c r="G540" s="10"/>
      <c r="N540" s="10"/>
    </row>
    <row r="541">
      <c r="F541" s="10"/>
      <c r="G541" s="10"/>
      <c r="N541" s="10"/>
    </row>
    <row r="542">
      <c r="F542" s="10"/>
      <c r="G542" s="10"/>
      <c r="N542" s="10"/>
    </row>
    <row r="543">
      <c r="F543" s="10"/>
      <c r="G543" s="10"/>
      <c r="N543" s="10"/>
    </row>
    <row r="544">
      <c r="F544" s="10"/>
      <c r="G544" s="10"/>
      <c r="N544" s="10"/>
    </row>
    <row r="545">
      <c r="F545" s="10"/>
      <c r="G545" s="10"/>
      <c r="N545" s="10"/>
    </row>
    <row r="546">
      <c r="F546" s="10"/>
      <c r="G546" s="10"/>
      <c r="N546" s="10"/>
    </row>
    <row r="547">
      <c r="F547" s="10"/>
      <c r="G547" s="10"/>
      <c r="N547" s="10"/>
    </row>
    <row r="548">
      <c r="F548" s="10"/>
      <c r="G548" s="10"/>
      <c r="N548" s="10"/>
    </row>
    <row r="549">
      <c r="F549" s="10"/>
      <c r="G549" s="10"/>
      <c r="N549" s="10"/>
    </row>
    <row r="550">
      <c r="F550" s="10"/>
      <c r="G550" s="10"/>
      <c r="N550" s="10"/>
    </row>
    <row r="551">
      <c r="F551" s="10"/>
      <c r="G551" s="10"/>
      <c r="N551" s="10"/>
    </row>
    <row r="552">
      <c r="F552" s="10"/>
      <c r="G552" s="10"/>
      <c r="N552" s="10"/>
    </row>
    <row r="553">
      <c r="F553" s="10"/>
      <c r="G553" s="10"/>
      <c r="N553" s="10"/>
    </row>
    <row r="554">
      <c r="F554" s="10"/>
      <c r="G554" s="10"/>
      <c r="N554" s="10"/>
    </row>
    <row r="555">
      <c r="F555" s="10"/>
      <c r="G555" s="10"/>
      <c r="N555" s="10"/>
    </row>
    <row r="556">
      <c r="F556" s="10"/>
      <c r="G556" s="10"/>
      <c r="N556" s="10"/>
    </row>
    <row r="557">
      <c r="F557" s="10"/>
      <c r="G557" s="10"/>
      <c r="N557" s="10"/>
    </row>
    <row r="558">
      <c r="F558" s="10"/>
      <c r="G558" s="10"/>
      <c r="N558" s="10"/>
    </row>
    <row r="559">
      <c r="F559" s="10"/>
      <c r="G559" s="10"/>
      <c r="N559" s="10"/>
    </row>
    <row r="560">
      <c r="F560" s="10"/>
      <c r="G560" s="10"/>
      <c r="N560" s="10"/>
    </row>
    <row r="561">
      <c r="F561" s="10"/>
      <c r="G561" s="10"/>
      <c r="N561" s="10"/>
    </row>
    <row r="562">
      <c r="F562" s="10"/>
      <c r="G562" s="10"/>
      <c r="N562" s="10"/>
    </row>
    <row r="563">
      <c r="F563" s="10"/>
      <c r="G563" s="10"/>
      <c r="N563" s="10"/>
    </row>
    <row r="564">
      <c r="F564" s="10"/>
      <c r="G564" s="10"/>
      <c r="N564" s="10"/>
    </row>
    <row r="565">
      <c r="F565" s="10"/>
      <c r="G565" s="10"/>
      <c r="N565" s="10"/>
    </row>
    <row r="566">
      <c r="F566" s="10"/>
      <c r="G566" s="10"/>
      <c r="N566" s="10"/>
    </row>
    <row r="567">
      <c r="F567" s="10"/>
      <c r="G567" s="10"/>
      <c r="N567" s="10"/>
    </row>
    <row r="568">
      <c r="F568" s="10"/>
      <c r="G568" s="10"/>
      <c r="N568" s="10"/>
    </row>
    <row r="569">
      <c r="F569" s="10"/>
      <c r="G569" s="10"/>
      <c r="N569" s="10"/>
    </row>
    <row r="570">
      <c r="F570" s="10"/>
      <c r="G570" s="10"/>
      <c r="N570" s="10"/>
    </row>
    <row r="571">
      <c r="F571" s="10"/>
      <c r="G571" s="10"/>
      <c r="N571" s="10"/>
    </row>
    <row r="572">
      <c r="F572" s="10"/>
      <c r="G572" s="10"/>
      <c r="N572" s="10"/>
    </row>
    <row r="573">
      <c r="F573" s="10"/>
      <c r="G573" s="10"/>
      <c r="N573" s="10"/>
    </row>
    <row r="574">
      <c r="F574" s="10"/>
      <c r="G574" s="10"/>
      <c r="N574" s="10"/>
    </row>
    <row r="575">
      <c r="F575" s="10"/>
      <c r="G575" s="10"/>
      <c r="N575" s="10"/>
    </row>
    <row r="576">
      <c r="F576" s="10"/>
      <c r="G576" s="10"/>
      <c r="N576" s="10"/>
    </row>
    <row r="577">
      <c r="F577" s="10"/>
      <c r="G577" s="10"/>
      <c r="N577" s="10"/>
    </row>
    <row r="578">
      <c r="F578" s="10"/>
      <c r="G578" s="10"/>
      <c r="N578" s="10"/>
    </row>
    <row r="579">
      <c r="F579" s="10"/>
      <c r="G579" s="10"/>
      <c r="N579" s="10"/>
    </row>
    <row r="580">
      <c r="F580" s="10"/>
      <c r="G580" s="10"/>
      <c r="N580" s="10"/>
    </row>
    <row r="581">
      <c r="F581" s="10"/>
      <c r="G581" s="10"/>
      <c r="N581" s="10"/>
    </row>
    <row r="582">
      <c r="F582" s="10"/>
      <c r="G582" s="10"/>
      <c r="N582" s="10"/>
    </row>
    <row r="583">
      <c r="F583" s="10"/>
      <c r="G583" s="10"/>
      <c r="N583" s="10"/>
    </row>
    <row r="584">
      <c r="F584" s="10"/>
      <c r="G584" s="10"/>
      <c r="N584" s="10"/>
    </row>
    <row r="585">
      <c r="F585" s="10"/>
      <c r="G585" s="10"/>
      <c r="N585" s="10"/>
    </row>
    <row r="586">
      <c r="F586" s="10"/>
      <c r="G586" s="10"/>
      <c r="N586" s="10"/>
    </row>
    <row r="587">
      <c r="F587" s="10"/>
      <c r="G587" s="10"/>
      <c r="N587" s="10"/>
    </row>
    <row r="588">
      <c r="F588" s="10"/>
      <c r="G588" s="10"/>
      <c r="N588" s="10"/>
    </row>
    <row r="589">
      <c r="F589" s="10"/>
      <c r="G589" s="10"/>
      <c r="N589" s="10"/>
    </row>
    <row r="590">
      <c r="F590" s="10"/>
      <c r="G590" s="10"/>
      <c r="N590" s="10"/>
    </row>
    <row r="591">
      <c r="F591" s="10"/>
      <c r="G591" s="10"/>
      <c r="N591" s="10"/>
    </row>
    <row r="592">
      <c r="F592" s="10"/>
      <c r="G592" s="10"/>
      <c r="N592" s="10"/>
    </row>
    <row r="593">
      <c r="F593" s="10"/>
      <c r="G593" s="10"/>
      <c r="N593" s="10"/>
    </row>
    <row r="594">
      <c r="F594" s="10"/>
      <c r="G594" s="10"/>
      <c r="N594" s="10"/>
    </row>
    <row r="595">
      <c r="F595" s="10"/>
      <c r="G595" s="10"/>
      <c r="N595" s="10"/>
    </row>
    <row r="596">
      <c r="F596" s="10"/>
      <c r="G596" s="10"/>
      <c r="N596" s="10"/>
    </row>
    <row r="597">
      <c r="F597" s="10"/>
      <c r="G597" s="10"/>
      <c r="N597" s="10"/>
    </row>
    <row r="598">
      <c r="F598" s="10"/>
      <c r="G598" s="10"/>
      <c r="N598" s="10"/>
    </row>
    <row r="599">
      <c r="F599" s="10"/>
      <c r="G599" s="10"/>
      <c r="N599" s="10"/>
    </row>
    <row r="600">
      <c r="F600" s="10"/>
      <c r="G600" s="10"/>
      <c r="N600" s="10"/>
    </row>
    <row r="601">
      <c r="F601" s="10"/>
      <c r="G601" s="10"/>
      <c r="N601" s="10"/>
    </row>
    <row r="602">
      <c r="F602" s="10"/>
      <c r="G602" s="10"/>
      <c r="N602" s="10"/>
    </row>
    <row r="603">
      <c r="F603" s="10"/>
      <c r="G603" s="10"/>
      <c r="N603" s="10"/>
    </row>
    <row r="604">
      <c r="F604" s="10"/>
      <c r="G604" s="10"/>
      <c r="N604" s="10"/>
    </row>
    <row r="605">
      <c r="F605" s="10"/>
      <c r="G605" s="10"/>
      <c r="N605" s="10"/>
    </row>
    <row r="606">
      <c r="F606" s="10"/>
      <c r="G606" s="10"/>
      <c r="N606" s="10"/>
    </row>
    <row r="607">
      <c r="F607" s="10"/>
      <c r="G607" s="10"/>
      <c r="N607" s="10"/>
    </row>
    <row r="608">
      <c r="F608" s="10"/>
      <c r="G608" s="10"/>
      <c r="N608" s="10"/>
    </row>
    <row r="609">
      <c r="F609" s="10"/>
      <c r="G609" s="10"/>
      <c r="N609" s="10"/>
    </row>
    <row r="610">
      <c r="F610" s="10"/>
      <c r="G610" s="10"/>
      <c r="N610" s="10"/>
    </row>
    <row r="611">
      <c r="F611" s="10"/>
      <c r="G611" s="10"/>
      <c r="N611" s="10"/>
    </row>
    <row r="612">
      <c r="F612" s="10"/>
      <c r="G612" s="10"/>
      <c r="N612" s="10"/>
    </row>
    <row r="613">
      <c r="F613" s="10"/>
      <c r="G613" s="10"/>
      <c r="N613" s="10"/>
    </row>
    <row r="614">
      <c r="F614" s="10"/>
      <c r="G614" s="10"/>
      <c r="N614" s="10"/>
    </row>
    <row r="615">
      <c r="F615" s="10"/>
      <c r="G615" s="10"/>
      <c r="N615" s="10"/>
    </row>
    <row r="616">
      <c r="F616" s="10"/>
      <c r="G616" s="10"/>
      <c r="N616" s="10"/>
    </row>
    <row r="617">
      <c r="F617" s="10"/>
      <c r="G617" s="10"/>
      <c r="N617" s="10"/>
    </row>
    <row r="618">
      <c r="F618" s="10"/>
      <c r="G618" s="10"/>
      <c r="N618" s="10"/>
    </row>
    <row r="619">
      <c r="F619" s="10"/>
      <c r="G619" s="10"/>
      <c r="N619" s="10"/>
    </row>
    <row r="620">
      <c r="F620" s="10"/>
      <c r="G620" s="10"/>
      <c r="N620" s="10"/>
    </row>
    <row r="621">
      <c r="F621" s="10"/>
      <c r="G621" s="10"/>
      <c r="N621" s="10"/>
    </row>
    <row r="622">
      <c r="F622" s="10"/>
      <c r="G622" s="10"/>
      <c r="N622" s="10"/>
    </row>
    <row r="623">
      <c r="F623" s="10"/>
      <c r="G623" s="10"/>
      <c r="N623" s="10"/>
    </row>
    <row r="624">
      <c r="F624" s="10"/>
      <c r="G624" s="10"/>
      <c r="N624" s="10"/>
    </row>
    <row r="625">
      <c r="F625" s="10"/>
      <c r="G625" s="10"/>
      <c r="N625" s="10"/>
    </row>
    <row r="626">
      <c r="F626" s="10"/>
      <c r="G626" s="10"/>
      <c r="N626" s="10"/>
    </row>
    <row r="627">
      <c r="F627" s="10"/>
      <c r="G627" s="10"/>
      <c r="N627" s="10"/>
    </row>
    <row r="628">
      <c r="F628" s="10"/>
      <c r="G628" s="10"/>
      <c r="N628" s="10"/>
    </row>
    <row r="629">
      <c r="F629" s="10"/>
      <c r="G629" s="10"/>
      <c r="N629" s="10"/>
    </row>
    <row r="630">
      <c r="F630" s="10"/>
      <c r="G630" s="10"/>
      <c r="N630" s="10"/>
    </row>
    <row r="631">
      <c r="F631" s="10"/>
      <c r="G631" s="10"/>
      <c r="N631" s="10"/>
    </row>
    <row r="632">
      <c r="F632" s="10"/>
      <c r="G632" s="10"/>
      <c r="N632" s="10"/>
    </row>
    <row r="633">
      <c r="F633" s="10"/>
      <c r="G633" s="10"/>
      <c r="N633" s="10"/>
    </row>
    <row r="634">
      <c r="F634" s="10"/>
      <c r="G634" s="10"/>
      <c r="N634" s="10"/>
    </row>
    <row r="635">
      <c r="F635" s="10"/>
      <c r="G635" s="10"/>
      <c r="N635" s="10"/>
    </row>
    <row r="636">
      <c r="F636" s="10"/>
      <c r="G636" s="10"/>
      <c r="N636" s="10"/>
    </row>
    <row r="637">
      <c r="F637" s="10"/>
      <c r="G637" s="10"/>
      <c r="N637" s="10"/>
    </row>
    <row r="638">
      <c r="F638" s="10"/>
      <c r="G638" s="10"/>
      <c r="N638" s="10"/>
    </row>
    <row r="639">
      <c r="F639" s="10"/>
      <c r="G639" s="10"/>
      <c r="N639" s="10"/>
    </row>
    <row r="640">
      <c r="F640" s="10"/>
      <c r="G640" s="10"/>
      <c r="N640" s="10"/>
    </row>
    <row r="641">
      <c r="F641" s="10"/>
      <c r="G641" s="10"/>
      <c r="N641" s="10"/>
    </row>
    <row r="642">
      <c r="F642" s="10"/>
      <c r="G642" s="10"/>
      <c r="N642" s="10"/>
    </row>
    <row r="643">
      <c r="F643" s="10"/>
      <c r="G643" s="10"/>
      <c r="N643" s="10"/>
    </row>
    <row r="644">
      <c r="F644" s="10"/>
      <c r="G644" s="10"/>
      <c r="N644" s="10"/>
    </row>
    <row r="645">
      <c r="F645" s="10"/>
      <c r="G645" s="10"/>
      <c r="N645" s="10"/>
    </row>
    <row r="646">
      <c r="F646" s="10"/>
      <c r="G646" s="10"/>
      <c r="N646" s="10"/>
    </row>
    <row r="647">
      <c r="F647" s="10"/>
      <c r="G647" s="10"/>
      <c r="N647" s="10"/>
    </row>
    <row r="648">
      <c r="F648" s="10"/>
      <c r="G648" s="10"/>
      <c r="N648" s="10"/>
    </row>
    <row r="649">
      <c r="F649" s="10"/>
      <c r="G649" s="10"/>
      <c r="N649" s="10"/>
    </row>
    <row r="650">
      <c r="F650" s="10"/>
      <c r="G650" s="10"/>
      <c r="N650" s="10"/>
    </row>
    <row r="651">
      <c r="F651" s="10"/>
      <c r="G651" s="10"/>
      <c r="N651" s="10"/>
    </row>
    <row r="652">
      <c r="F652" s="10"/>
      <c r="G652" s="10"/>
      <c r="N652" s="10"/>
    </row>
    <row r="653">
      <c r="F653" s="10"/>
      <c r="G653" s="10"/>
      <c r="N653" s="10"/>
    </row>
    <row r="654">
      <c r="F654" s="10"/>
      <c r="G654" s="10"/>
      <c r="N654" s="10"/>
    </row>
    <row r="655">
      <c r="F655" s="10"/>
      <c r="G655" s="10"/>
      <c r="N655" s="10"/>
    </row>
    <row r="656">
      <c r="F656" s="10"/>
      <c r="G656" s="10"/>
      <c r="N656" s="10"/>
    </row>
    <row r="657">
      <c r="F657" s="10"/>
      <c r="G657" s="10"/>
      <c r="N657" s="10"/>
    </row>
    <row r="658">
      <c r="F658" s="10"/>
      <c r="G658" s="10"/>
      <c r="N658" s="10"/>
    </row>
    <row r="659">
      <c r="F659" s="10"/>
      <c r="G659" s="10"/>
      <c r="N659" s="10"/>
    </row>
    <row r="660">
      <c r="F660" s="10"/>
      <c r="G660" s="10"/>
      <c r="N660" s="10"/>
    </row>
    <row r="661">
      <c r="F661" s="10"/>
      <c r="G661" s="10"/>
      <c r="N661" s="10"/>
    </row>
    <row r="662">
      <c r="F662" s="10"/>
      <c r="G662" s="10"/>
      <c r="N662" s="10"/>
    </row>
    <row r="663">
      <c r="F663" s="10"/>
      <c r="G663" s="10"/>
      <c r="N663" s="10"/>
    </row>
    <row r="664">
      <c r="F664" s="10"/>
      <c r="G664" s="10"/>
      <c r="N664" s="10"/>
    </row>
    <row r="665">
      <c r="F665" s="10"/>
      <c r="G665" s="10"/>
      <c r="N665" s="10"/>
    </row>
    <row r="666">
      <c r="F666" s="10"/>
      <c r="G666" s="10"/>
      <c r="N666" s="10"/>
    </row>
    <row r="667">
      <c r="F667" s="10"/>
      <c r="G667" s="10"/>
      <c r="N667" s="10"/>
    </row>
    <row r="668">
      <c r="F668" s="10"/>
      <c r="G668" s="10"/>
      <c r="N668" s="10"/>
    </row>
    <row r="669">
      <c r="F669" s="10"/>
      <c r="G669" s="10"/>
      <c r="N669" s="10"/>
    </row>
    <row r="670">
      <c r="F670" s="10"/>
      <c r="G670" s="10"/>
      <c r="N670" s="10"/>
    </row>
    <row r="671">
      <c r="F671" s="10"/>
      <c r="G671" s="10"/>
      <c r="N671" s="10"/>
    </row>
    <row r="672">
      <c r="F672" s="10"/>
      <c r="G672" s="10"/>
      <c r="N672" s="10"/>
    </row>
    <row r="673">
      <c r="F673" s="10"/>
      <c r="G673" s="10"/>
      <c r="N673" s="10"/>
    </row>
    <row r="674">
      <c r="F674" s="10"/>
      <c r="G674" s="10"/>
      <c r="N674" s="10"/>
    </row>
    <row r="675">
      <c r="F675" s="10"/>
      <c r="G675" s="10"/>
      <c r="N675" s="10"/>
    </row>
    <row r="676">
      <c r="F676" s="10"/>
      <c r="G676" s="10"/>
      <c r="N676" s="10"/>
    </row>
    <row r="677">
      <c r="F677" s="10"/>
      <c r="G677" s="10"/>
      <c r="N677" s="10"/>
    </row>
    <row r="678">
      <c r="F678" s="10"/>
      <c r="G678" s="10"/>
      <c r="N678" s="10"/>
    </row>
    <row r="679">
      <c r="F679" s="10"/>
      <c r="G679" s="10"/>
      <c r="N679" s="10"/>
    </row>
    <row r="680">
      <c r="F680" s="10"/>
      <c r="G680" s="10"/>
      <c r="N680" s="10"/>
    </row>
    <row r="681">
      <c r="F681" s="10"/>
      <c r="G681" s="10"/>
      <c r="N681" s="10"/>
    </row>
    <row r="682">
      <c r="F682" s="10"/>
      <c r="G682" s="10"/>
      <c r="N682" s="10"/>
    </row>
    <row r="683">
      <c r="F683" s="10"/>
      <c r="G683" s="10"/>
      <c r="N683" s="10"/>
    </row>
    <row r="684">
      <c r="F684" s="10"/>
      <c r="G684" s="10"/>
      <c r="N684" s="10"/>
    </row>
    <row r="685">
      <c r="F685" s="10"/>
      <c r="G685" s="10"/>
      <c r="N685" s="10"/>
    </row>
    <row r="686">
      <c r="F686" s="10"/>
      <c r="G686" s="10"/>
      <c r="N686" s="10"/>
    </row>
    <row r="687">
      <c r="F687" s="10"/>
      <c r="G687" s="10"/>
      <c r="N687" s="10"/>
    </row>
    <row r="688">
      <c r="F688" s="10"/>
      <c r="G688" s="10"/>
      <c r="N688" s="10"/>
    </row>
    <row r="689">
      <c r="F689" s="10"/>
      <c r="G689" s="10"/>
      <c r="N689" s="10"/>
    </row>
    <row r="690">
      <c r="F690" s="10"/>
      <c r="G690" s="10"/>
      <c r="N690" s="10"/>
    </row>
    <row r="691">
      <c r="F691" s="10"/>
      <c r="G691" s="10"/>
      <c r="N691" s="10"/>
    </row>
    <row r="692">
      <c r="F692" s="10"/>
      <c r="G692" s="10"/>
      <c r="N692" s="10"/>
    </row>
    <row r="693">
      <c r="F693" s="10"/>
      <c r="G693" s="10"/>
      <c r="N693" s="10"/>
    </row>
    <row r="694">
      <c r="F694" s="10"/>
      <c r="G694" s="10"/>
      <c r="N694" s="10"/>
    </row>
    <row r="695">
      <c r="F695" s="10"/>
      <c r="G695" s="10"/>
      <c r="N695" s="10"/>
    </row>
    <row r="696">
      <c r="F696" s="10"/>
      <c r="G696" s="10"/>
      <c r="N696" s="10"/>
    </row>
    <row r="697">
      <c r="F697" s="10"/>
      <c r="G697" s="10"/>
      <c r="N697" s="10"/>
    </row>
    <row r="698">
      <c r="F698" s="10"/>
      <c r="G698" s="10"/>
      <c r="N698" s="10"/>
    </row>
    <row r="699">
      <c r="F699" s="10"/>
      <c r="G699" s="10"/>
      <c r="N699" s="10"/>
    </row>
    <row r="700">
      <c r="F700" s="10"/>
      <c r="G700" s="10"/>
      <c r="N700" s="10"/>
    </row>
    <row r="701">
      <c r="F701" s="10"/>
      <c r="G701" s="10"/>
      <c r="N701" s="10"/>
    </row>
    <row r="702">
      <c r="F702" s="10"/>
      <c r="G702" s="10"/>
      <c r="N702" s="10"/>
    </row>
    <row r="703">
      <c r="F703" s="10"/>
      <c r="G703" s="10"/>
      <c r="N703" s="10"/>
    </row>
    <row r="704">
      <c r="F704" s="10"/>
      <c r="G704" s="10"/>
      <c r="N704" s="10"/>
    </row>
    <row r="705">
      <c r="F705" s="10"/>
      <c r="G705" s="10"/>
      <c r="N705" s="10"/>
    </row>
    <row r="706">
      <c r="F706" s="10"/>
      <c r="G706" s="10"/>
      <c r="N706" s="10"/>
    </row>
    <row r="707">
      <c r="F707" s="10"/>
      <c r="G707" s="10"/>
      <c r="N707" s="10"/>
    </row>
    <row r="708">
      <c r="F708" s="10"/>
      <c r="G708" s="10"/>
      <c r="N708" s="10"/>
    </row>
    <row r="709">
      <c r="F709" s="10"/>
      <c r="G709" s="10"/>
      <c r="N709" s="10"/>
    </row>
    <row r="710">
      <c r="F710" s="10"/>
      <c r="G710" s="10"/>
      <c r="N710" s="10"/>
    </row>
    <row r="711">
      <c r="F711" s="10"/>
      <c r="G711" s="10"/>
      <c r="N711" s="10"/>
    </row>
    <row r="712">
      <c r="F712" s="10"/>
      <c r="G712" s="10"/>
      <c r="N712" s="10"/>
    </row>
    <row r="713">
      <c r="F713" s="10"/>
      <c r="G713" s="10"/>
      <c r="N713" s="10"/>
    </row>
    <row r="714">
      <c r="F714" s="10"/>
      <c r="G714" s="10"/>
      <c r="N714" s="10"/>
    </row>
    <row r="715">
      <c r="F715" s="10"/>
      <c r="G715" s="10"/>
      <c r="N715" s="10"/>
    </row>
    <row r="716">
      <c r="F716" s="10"/>
      <c r="G716" s="10"/>
      <c r="N716" s="10"/>
    </row>
    <row r="717">
      <c r="F717" s="10"/>
      <c r="G717" s="10"/>
      <c r="N717" s="10"/>
    </row>
    <row r="718">
      <c r="F718" s="10"/>
      <c r="G718" s="10"/>
      <c r="N718" s="10"/>
    </row>
    <row r="719">
      <c r="F719" s="10"/>
      <c r="G719" s="10"/>
      <c r="N719" s="10"/>
    </row>
    <row r="720">
      <c r="F720" s="10"/>
      <c r="G720" s="10"/>
      <c r="N720" s="10"/>
    </row>
    <row r="721">
      <c r="F721" s="10"/>
      <c r="G721" s="10"/>
      <c r="N721" s="10"/>
    </row>
    <row r="722">
      <c r="F722" s="10"/>
      <c r="G722" s="10"/>
      <c r="N722" s="10"/>
    </row>
    <row r="723">
      <c r="F723" s="10"/>
      <c r="G723" s="10"/>
      <c r="N723" s="10"/>
    </row>
    <row r="724">
      <c r="F724" s="10"/>
      <c r="G724" s="10"/>
      <c r="N724" s="10"/>
    </row>
    <row r="725">
      <c r="F725" s="10"/>
      <c r="G725" s="10"/>
      <c r="N725" s="10"/>
    </row>
    <row r="726">
      <c r="F726" s="10"/>
      <c r="G726" s="10"/>
      <c r="N726" s="10"/>
    </row>
    <row r="727">
      <c r="F727" s="10"/>
      <c r="G727" s="10"/>
      <c r="N727" s="10"/>
    </row>
    <row r="728">
      <c r="F728" s="10"/>
      <c r="G728" s="10"/>
      <c r="N728" s="10"/>
    </row>
    <row r="729">
      <c r="F729" s="10"/>
      <c r="G729" s="10"/>
      <c r="N729" s="10"/>
    </row>
    <row r="730">
      <c r="F730" s="10"/>
      <c r="G730" s="10"/>
      <c r="N730" s="10"/>
    </row>
    <row r="731">
      <c r="F731" s="10"/>
      <c r="G731" s="10"/>
      <c r="N731" s="10"/>
    </row>
    <row r="732">
      <c r="F732" s="10"/>
      <c r="G732" s="10"/>
      <c r="N732" s="10"/>
    </row>
    <row r="733">
      <c r="F733" s="10"/>
      <c r="G733" s="10"/>
      <c r="N733" s="10"/>
    </row>
    <row r="734">
      <c r="F734" s="10"/>
      <c r="G734" s="10"/>
      <c r="N734" s="10"/>
    </row>
    <row r="735">
      <c r="F735" s="10"/>
      <c r="G735" s="10"/>
      <c r="N735" s="10"/>
    </row>
    <row r="736">
      <c r="F736" s="10"/>
      <c r="G736" s="10"/>
      <c r="N736" s="10"/>
    </row>
    <row r="737">
      <c r="F737" s="10"/>
      <c r="G737" s="10"/>
      <c r="N737" s="10"/>
    </row>
    <row r="738">
      <c r="F738" s="10"/>
      <c r="G738" s="10"/>
      <c r="N738" s="10"/>
    </row>
    <row r="739">
      <c r="F739" s="10"/>
      <c r="G739" s="10"/>
      <c r="N739" s="10"/>
    </row>
    <row r="740">
      <c r="F740" s="10"/>
      <c r="G740" s="10"/>
      <c r="N740" s="10"/>
    </row>
    <row r="741">
      <c r="F741" s="10"/>
      <c r="G741" s="10"/>
      <c r="N741" s="10"/>
    </row>
    <row r="742">
      <c r="F742" s="10"/>
      <c r="G742" s="10"/>
      <c r="N742" s="10"/>
    </row>
    <row r="743">
      <c r="F743" s="10"/>
      <c r="G743" s="10"/>
      <c r="N743" s="10"/>
    </row>
    <row r="744">
      <c r="F744" s="10"/>
      <c r="G744" s="10"/>
      <c r="N744" s="10"/>
    </row>
    <row r="745">
      <c r="F745" s="10"/>
      <c r="G745" s="10"/>
      <c r="N745" s="10"/>
    </row>
    <row r="746">
      <c r="F746" s="10"/>
      <c r="G746" s="10"/>
      <c r="N746" s="10"/>
    </row>
    <row r="747">
      <c r="F747" s="10"/>
      <c r="G747" s="10"/>
      <c r="N747" s="10"/>
    </row>
    <row r="748">
      <c r="F748" s="10"/>
      <c r="G748" s="10"/>
      <c r="N748" s="10"/>
    </row>
    <row r="749">
      <c r="F749" s="10"/>
      <c r="G749" s="10"/>
      <c r="N749" s="10"/>
    </row>
    <row r="750">
      <c r="F750" s="10"/>
      <c r="G750" s="10"/>
      <c r="N750" s="10"/>
    </row>
    <row r="751">
      <c r="F751" s="10"/>
      <c r="G751" s="10"/>
      <c r="N751" s="10"/>
    </row>
    <row r="752">
      <c r="F752" s="10"/>
      <c r="G752" s="10"/>
      <c r="N752" s="10"/>
    </row>
    <row r="753">
      <c r="F753" s="10"/>
      <c r="G753" s="10"/>
      <c r="N753" s="10"/>
    </row>
    <row r="754">
      <c r="F754" s="10"/>
      <c r="G754" s="10"/>
      <c r="N754" s="10"/>
    </row>
    <row r="755">
      <c r="F755" s="10"/>
      <c r="G755" s="10"/>
      <c r="N755" s="10"/>
    </row>
    <row r="756">
      <c r="F756" s="10"/>
      <c r="G756" s="10"/>
      <c r="N756" s="10"/>
    </row>
    <row r="757">
      <c r="F757" s="10"/>
      <c r="G757" s="10"/>
      <c r="N757" s="10"/>
    </row>
    <row r="758">
      <c r="F758" s="10"/>
      <c r="G758" s="10"/>
      <c r="N758" s="10"/>
    </row>
    <row r="759">
      <c r="F759" s="10"/>
      <c r="G759" s="10"/>
      <c r="N759" s="10"/>
    </row>
    <row r="760">
      <c r="F760" s="10"/>
      <c r="G760" s="10"/>
      <c r="N760" s="10"/>
    </row>
    <row r="761">
      <c r="F761" s="10"/>
      <c r="G761" s="10"/>
      <c r="N761" s="10"/>
    </row>
    <row r="762">
      <c r="F762" s="10"/>
      <c r="G762" s="10"/>
      <c r="N762" s="10"/>
    </row>
    <row r="763">
      <c r="F763" s="10"/>
      <c r="G763" s="10"/>
      <c r="N763" s="10"/>
    </row>
    <row r="764">
      <c r="F764" s="10"/>
      <c r="G764" s="10"/>
      <c r="N764" s="10"/>
    </row>
    <row r="765">
      <c r="F765" s="10"/>
      <c r="G765" s="10"/>
      <c r="N765" s="10"/>
    </row>
    <row r="766">
      <c r="F766" s="10"/>
      <c r="G766" s="10"/>
      <c r="N766" s="10"/>
    </row>
    <row r="767">
      <c r="F767" s="10"/>
      <c r="G767" s="10"/>
      <c r="N767" s="10"/>
    </row>
    <row r="768">
      <c r="F768" s="10"/>
      <c r="G768" s="10"/>
      <c r="N768" s="10"/>
    </row>
    <row r="769">
      <c r="F769" s="10"/>
      <c r="G769" s="10"/>
      <c r="N769" s="10"/>
    </row>
    <row r="770">
      <c r="F770" s="10"/>
      <c r="G770" s="10"/>
      <c r="N770" s="10"/>
    </row>
    <row r="771">
      <c r="F771" s="10"/>
      <c r="G771" s="10"/>
      <c r="N771" s="10"/>
    </row>
    <row r="772">
      <c r="F772" s="10"/>
      <c r="G772" s="10"/>
      <c r="N772" s="10"/>
    </row>
    <row r="773">
      <c r="F773" s="10"/>
      <c r="G773" s="10"/>
      <c r="N773" s="10"/>
    </row>
    <row r="774">
      <c r="F774" s="10"/>
      <c r="G774" s="10"/>
      <c r="N774" s="10"/>
    </row>
    <row r="775">
      <c r="F775" s="10"/>
      <c r="G775" s="10"/>
      <c r="N775" s="10"/>
    </row>
    <row r="776">
      <c r="F776" s="10"/>
      <c r="G776" s="10"/>
      <c r="N776" s="10"/>
    </row>
    <row r="777">
      <c r="F777" s="10"/>
      <c r="G777" s="10"/>
      <c r="N777" s="10"/>
    </row>
    <row r="778">
      <c r="F778" s="10"/>
      <c r="G778" s="10"/>
      <c r="N778" s="10"/>
    </row>
    <row r="779">
      <c r="F779" s="10"/>
      <c r="G779" s="10"/>
      <c r="N779" s="10"/>
    </row>
    <row r="780">
      <c r="F780" s="10"/>
      <c r="G780" s="10"/>
      <c r="N780" s="10"/>
    </row>
    <row r="781">
      <c r="F781" s="10"/>
      <c r="G781" s="10"/>
      <c r="N781" s="10"/>
    </row>
    <row r="782">
      <c r="F782" s="10"/>
      <c r="G782" s="10"/>
      <c r="N782" s="10"/>
    </row>
    <row r="783">
      <c r="F783" s="10"/>
      <c r="G783" s="10"/>
      <c r="N783" s="10"/>
    </row>
    <row r="784">
      <c r="F784" s="10"/>
      <c r="G784" s="10"/>
      <c r="N784" s="10"/>
    </row>
    <row r="785">
      <c r="F785" s="10"/>
      <c r="G785" s="10"/>
      <c r="N785" s="10"/>
    </row>
    <row r="786">
      <c r="F786" s="10"/>
      <c r="G786" s="10"/>
      <c r="N786" s="10"/>
    </row>
    <row r="787">
      <c r="F787" s="10"/>
      <c r="G787" s="10"/>
      <c r="N787" s="10"/>
    </row>
    <row r="788">
      <c r="F788" s="10"/>
      <c r="G788" s="10"/>
      <c r="N788" s="10"/>
    </row>
    <row r="789">
      <c r="F789" s="10"/>
      <c r="G789" s="10"/>
      <c r="N789" s="10"/>
    </row>
    <row r="790">
      <c r="F790" s="10"/>
      <c r="G790" s="10"/>
      <c r="N790" s="10"/>
    </row>
    <row r="791">
      <c r="F791" s="10"/>
      <c r="G791" s="10"/>
      <c r="N791" s="10"/>
    </row>
    <row r="792">
      <c r="F792" s="10"/>
      <c r="G792" s="10"/>
      <c r="N792" s="10"/>
    </row>
    <row r="793">
      <c r="F793" s="10"/>
      <c r="G793" s="10"/>
      <c r="N793" s="10"/>
    </row>
    <row r="794">
      <c r="F794" s="10"/>
      <c r="G794" s="10"/>
      <c r="N794" s="10"/>
    </row>
    <row r="795">
      <c r="F795" s="10"/>
      <c r="G795" s="10"/>
      <c r="N795" s="10"/>
    </row>
    <row r="796">
      <c r="F796" s="10"/>
      <c r="G796" s="10"/>
      <c r="N796" s="10"/>
    </row>
    <row r="797">
      <c r="F797" s="10"/>
      <c r="G797" s="10"/>
      <c r="N797" s="10"/>
    </row>
    <row r="798">
      <c r="F798" s="10"/>
      <c r="G798" s="10"/>
      <c r="N798" s="10"/>
    </row>
    <row r="799">
      <c r="F799" s="10"/>
      <c r="G799" s="10"/>
      <c r="N799" s="10"/>
    </row>
    <row r="800">
      <c r="F800" s="10"/>
      <c r="G800" s="10"/>
      <c r="N800" s="10"/>
    </row>
    <row r="801">
      <c r="F801" s="10"/>
      <c r="G801" s="10"/>
      <c r="N801" s="10"/>
    </row>
    <row r="802">
      <c r="F802" s="10"/>
      <c r="G802" s="10"/>
      <c r="N802" s="10"/>
    </row>
    <row r="803">
      <c r="F803" s="10"/>
      <c r="G803" s="10"/>
      <c r="N803" s="10"/>
    </row>
    <row r="804">
      <c r="F804" s="10"/>
      <c r="G804" s="10"/>
      <c r="N804" s="10"/>
    </row>
    <row r="805">
      <c r="F805" s="10"/>
      <c r="G805" s="10"/>
      <c r="N805" s="10"/>
    </row>
    <row r="806">
      <c r="F806" s="10"/>
      <c r="G806" s="10"/>
      <c r="N806" s="10"/>
    </row>
    <row r="807">
      <c r="F807" s="10"/>
      <c r="G807" s="10"/>
      <c r="N807" s="10"/>
    </row>
    <row r="808">
      <c r="F808" s="10"/>
      <c r="G808" s="10"/>
      <c r="N808" s="10"/>
    </row>
    <row r="809">
      <c r="F809" s="10"/>
      <c r="G809" s="10"/>
      <c r="N809" s="10"/>
    </row>
    <row r="810">
      <c r="F810" s="10"/>
      <c r="G810" s="10"/>
      <c r="N810" s="10"/>
    </row>
    <row r="811">
      <c r="F811" s="10"/>
      <c r="G811" s="10"/>
      <c r="N811" s="10"/>
    </row>
    <row r="812">
      <c r="F812" s="10"/>
      <c r="G812" s="10"/>
      <c r="N812" s="10"/>
    </row>
    <row r="813">
      <c r="F813" s="10"/>
      <c r="G813" s="10"/>
      <c r="N813" s="10"/>
    </row>
    <row r="814">
      <c r="F814" s="10"/>
      <c r="G814" s="10"/>
      <c r="N814" s="10"/>
    </row>
    <row r="815">
      <c r="F815" s="10"/>
      <c r="G815" s="10"/>
      <c r="N815" s="10"/>
    </row>
    <row r="816">
      <c r="F816" s="10"/>
      <c r="G816" s="10"/>
      <c r="N816" s="10"/>
    </row>
    <row r="817">
      <c r="F817" s="10"/>
      <c r="G817" s="10"/>
      <c r="N817" s="10"/>
    </row>
    <row r="818">
      <c r="F818" s="10"/>
      <c r="G818" s="10"/>
      <c r="N818" s="10"/>
    </row>
    <row r="819">
      <c r="F819" s="10"/>
      <c r="G819" s="10"/>
      <c r="N819" s="10"/>
    </row>
    <row r="820">
      <c r="F820" s="10"/>
      <c r="G820" s="10"/>
      <c r="N820" s="10"/>
    </row>
    <row r="821">
      <c r="F821" s="10"/>
      <c r="G821" s="10"/>
      <c r="N821" s="10"/>
    </row>
    <row r="822">
      <c r="F822" s="10"/>
      <c r="G822" s="10"/>
      <c r="N822" s="10"/>
    </row>
    <row r="823">
      <c r="F823" s="10"/>
      <c r="G823" s="10"/>
      <c r="N823" s="10"/>
    </row>
    <row r="824">
      <c r="F824" s="10"/>
      <c r="G824" s="10"/>
      <c r="N824" s="10"/>
    </row>
    <row r="825">
      <c r="F825" s="10"/>
      <c r="G825" s="10"/>
      <c r="N825" s="10"/>
    </row>
    <row r="826">
      <c r="F826" s="10"/>
      <c r="G826" s="10"/>
      <c r="N826" s="10"/>
    </row>
    <row r="827">
      <c r="F827" s="10"/>
      <c r="G827" s="10"/>
      <c r="N827" s="10"/>
    </row>
    <row r="828">
      <c r="F828" s="10"/>
      <c r="G828" s="10"/>
      <c r="N828" s="10"/>
    </row>
    <row r="829">
      <c r="F829" s="10"/>
      <c r="G829" s="10"/>
      <c r="N829" s="10"/>
    </row>
    <row r="830">
      <c r="F830" s="10"/>
      <c r="G830" s="10"/>
      <c r="N830" s="10"/>
    </row>
    <row r="831">
      <c r="F831" s="10"/>
      <c r="G831" s="10"/>
      <c r="N831" s="10"/>
    </row>
    <row r="832">
      <c r="F832" s="10"/>
      <c r="G832" s="10"/>
      <c r="N832" s="10"/>
    </row>
    <row r="833">
      <c r="F833" s="10"/>
      <c r="G833" s="10"/>
      <c r="N833" s="10"/>
    </row>
    <row r="834">
      <c r="F834" s="10"/>
      <c r="G834" s="10"/>
      <c r="N834" s="10"/>
    </row>
    <row r="835">
      <c r="F835" s="10"/>
      <c r="G835" s="10"/>
      <c r="N835" s="10"/>
    </row>
    <row r="836">
      <c r="F836" s="10"/>
      <c r="G836" s="10"/>
      <c r="N836" s="10"/>
    </row>
    <row r="837">
      <c r="F837" s="10"/>
      <c r="G837" s="10"/>
      <c r="N837" s="10"/>
    </row>
    <row r="838">
      <c r="F838" s="10"/>
      <c r="G838" s="10"/>
      <c r="N838" s="10"/>
    </row>
    <row r="839">
      <c r="F839" s="10"/>
      <c r="G839" s="10"/>
      <c r="N839" s="10"/>
    </row>
    <row r="840">
      <c r="F840" s="10"/>
      <c r="G840" s="10"/>
      <c r="N840" s="10"/>
    </row>
    <row r="841">
      <c r="F841" s="10"/>
      <c r="G841" s="10"/>
      <c r="N841" s="10"/>
    </row>
    <row r="842">
      <c r="F842" s="10"/>
      <c r="G842" s="10"/>
      <c r="N842" s="10"/>
    </row>
    <row r="843">
      <c r="F843" s="10"/>
      <c r="G843" s="10"/>
      <c r="N843" s="10"/>
    </row>
    <row r="844">
      <c r="F844" s="10"/>
      <c r="G844" s="10"/>
      <c r="N844" s="10"/>
    </row>
    <row r="845">
      <c r="F845" s="10"/>
      <c r="G845" s="10"/>
      <c r="N845" s="10"/>
    </row>
    <row r="846">
      <c r="F846" s="10"/>
      <c r="G846" s="10"/>
      <c r="N846" s="10"/>
    </row>
    <row r="847">
      <c r="F847" s="10"/>
      <c r="G847" s="10"/>
      <c r="N847" s="10"/>
    </row>
    <row r="848">
      <c r="F848" s="10"/>
      <c r="G848" s="10"/>
      <c r="N848" s="10"/>
    </row>
    <row r="849">
      <c r="F849" s="10"/>
      <c r="G849" s="10"/>
      <c r="N849" s="10"/>
    </row>
    <row r="850">
      <c r="F850" s="10"/>
      <c r="G850" s="10"/>
      <c r="N850" s="10"/>
    </row>
    <row r="851">
      <c r="F851" s="10"/>
      <c r="G851" s="10"/>
      <c r="N851" s="10"/>
    </row>
    <row r="852">
      <c r="F852" s="10"/>
      <c r="G852" s="10"/>
      <c r="N852" s="10"/>
    </row>
    <row r="853">
      <c r="F853" s="10"/>
      <c r="G853" s="10"/>
      <c r="N853" s="10"/>
    </row>
    <row r="854">
      <c r="F854" s="10"/>
      <c r="G854" s="10"/>
      <c r="N854" s="10"/>
    </row>
    <row r="855">
      <c r="F855" s="10"/>
      <c r="G855" s="10"/>
      <c r="N855" s="10"/>
    </row>
    <row r="856">
      <c r="F856" s="10"/>
      <c r="G856" s="10"/>
      <c r="N856" s="10"/>
    </row>
    <row r="857">
      <c r="F857" s="10"/>
      <c r="G857" s="10"/>
      <c r="N857" s="10"/>
    </row>
    <row r="858">
      <c r="F858" s="10"/>
      <c r="G858" s="10"/>
      <c r="N858" s="10"/>
    </row>
    <row r="859">
      <c r="F859" s="10"/>
      <c r="G859" s="10"/>
      <c r="N859" s="10"/>
    </row>
    <row r="860">
      <c r="F860" s="10"/>
      <c r="G860" s="10"/>
      <c r="N860" s="10"/>
    </row>
    <row r="861">
      <c r="F861" s="10"/>
      <c r="G861" s="10"/>
      <c r="N861" s="10"/>
    </row>
    <row r="862">
      <c r="F862" s="10"/>
      <c r="G862" s="10"/>
      <c r="N862" s="10"/>
    </row>
    <row r="863">
      <c r="F863" s="10"/>
      <c r="G863" s="10"/>
      <c r="N863" s="10"/>
    </row>
    <row r="864">
      <c r="F864" s="10"/>
      <c r="G864" s="10"/>
      <c r="N864" s="10"/>
    </row>
    <row r="865">
      <c r="F865" s="10"/>
      <c r="G865" s="10"/>
      <c r="N865" s="10"/>
    </row>
    <row r="866">
      <c r="F866" s="10"/>
      <c r="G866" s="10"/>
      <c r="N866" s="10"/>
    </row>
    <row r="867">
      <c r="F867" s="10"/>
      <c r="G867" s="10"/>
      <c r="N867" s="10"/>
    </row>
    <row r="868">
      <c r="F868" s="10"/>
      <c r="G868" s="10"/>
      <c r="N868" s="10"/>
    </row>
    <row r="869">
      <c r="F869" s="10"/>
      <c r="G869" s="10"/>
      <c r="N869" s="10"/>
    </row>
    <row r="870">
      <c r="F870" s="10"/>
      <c r="G870" s="10"/>
      <c r="N870" s="10"/>
    </row>
    <row r="871">
      <c r="F871" s="10"/>
      <c r="G871" s="10"/>
      <c r="N871" s="10"/>
    </row>
    <row r="872">
      <c r="F872" s="10"/>
      <c r="G872" s="10"/>
      <c r="N872" s="10"/>
    </row>
    <row r="873">
      <c r="F873" s="10"/>
      <c r="G873" s="10"/>
      <c r="N873" s="10"/>
    </row>
    <row r="874">
      <c r="F874" s="10"/>
      <c r="G874" s="10"/>
      <c r="N874" s="10"/>
    </row>
    <row r="875">
      <c r="F875" s="10"/>
      <c r="G875" s="10"/>
      <c r="N875" s="10"/>
    </row>
    <row r="876">
      <c r="F876" s="10"/>
      <c r="G876" s="10"/>
      <c r="N876" s="10"/>
    </row>
    <row r="877">
      <c r="F877" s="10"/>
      <c r="G877" s="10"/>
      <c r="N877" s="10"/>
    </row>
    <row r="878">
      <c r="F878" s="10"/>
      <c r="G878" s="10"/>
      <c r="N878" s="10"/>
    </row>
    <row r="879">
      <c r="F879" s="10"/>
      <c r="G879" s="10"/>
      <c r="N879" s="10"/>
    </row>
    <row r="880">
      <c r="F880" s="10"/>
      <c r="G880" s="10"/>
      <c r="N880" s="10"/>
    </row>
    <row r="881">
      <c r="F881" s="10"/>
      <c r="G881" s="10"/>
      <c r="N881" s="10"/>
    </row>
    <row r="882">
      <c r="F882" s="10"/>
      <c r="G882" s="10"/>
      <c r="N882" s="10"/>
    </row>
    <row r="883">
      <c r="F883" s="10"/>
      <c r="G883" s="10"/>
      <c r="N883" s="10"/>
    </row>
    <row r="884">
      <c r="F884" s="10"/>
      <c r="G884" s="10"/>
      <c r="N884" s="10"/>
    </row>
    <row r="885">
      <c r="F885" s="10"/>
      <c r="G885" s="10"/>
      <c r="N885" s="10"/>
    </row>
    <row r="886">
      <c r="F886" s="10"/>
      <c r="G886" s="10"/>
      <c r="N886" s="10"/>
    </row>
    <row r="887">
      <c r="F887" s="10"/>
      <c r="G887" s="10"/>
      <c r="N887" s="10"/>
    </row>
    <row r="888">
      <c r="F888" s="10"/>
      <c r="G888" s="10"/>
      <c r="N888" s="10"/>
    </row>
    <row r="889">
      <c r="F889" s="10"/>
      <c r="G889" s="10"/>
      <c r="N889" s="10"/>
    </row>
    <row r="890">
      <c r="F890" s="10"/>
      <c r="G890" s="10"/>
      <c r="N890" s="10"/>
    </row>
    <row r="891">
      <c r="F891" s="10"/>
      <c r="G891" s="10"/>
      <c r="N891" s="10"/>
    </row>
    <row r="892">
      <c r="F892" s="10"/>
      <c r="G892" s="10"/>
      <c r="N892" s="10"/>
    </row>
    <row r="893">
      <c r="F893" s="10"/>
      <c r="G893" s="10"/>
      <c r="N893" s="10"/>
    </row>
    <row r="894">
      <c r="F894" s="10"/>
      <c r="G894" s="10"/>
      <c r="N894" s="10"/>
    </row>
    <row r="895">
      <c r="F895" s="10"/>
      <c r="G895" s="10"/>
      <c r="N895" s="10"/>
    </row>
    <row r="896">
      <c r="F896" s="10"/>
      <c r="G896" s="10"/>
      <c r="N896" s="10"/>
    </row>
    <row r="897">
      <c r="F897" s="10"/>
      <c r="G897" s="10"/>
      <c r="N897" s="10"/>
    </row>
    <row r="898">
      <c r="F898" s="10"/>
      <c r="G898" s="10"/>
      <c r="N898" s="10"/>
    </row>
    <row r="899">
      <c r="F899" s="10"/>
      <c r="G899" s="10"/>
      <c r="N899" s="10"/>
    </row>
    <row r="900">
      <c r="F900" s="10"/>
      <c r="G900" s="10"/>
      <c r="N900" s="10"/>
    </row>
    <row r="901">
      <c r="F901" s="10"/>
      <c r="G901" s="10"/>
      <c r="N901" s="10"/>
    </row>
    <row r="902">
      <c r="F902" s="10"/>
      <c r="G902" s="10"/>
      <c r="N902" s="10"/>
    </row>
    <row r="903">
      <c r="F903" s="10"/>
      <c r="G903" s="10"/>
      <c r="N903" s="10"/>
    </row>
    <row r="904">
      <c r="F904" s="10"/>
      <c r="G904" s="10"/>
      <c r="N904" s="10"/>
    </row>
    <row r="905">
      <c r="F905" s="10"/>
      <c r="G905" s="10"/>
      <c r="N905" s="10"/>
    </row>
    <row r="906">
      <c r="F906" s="10"/>
      <c r="G906" s="10"/>
      <c r="N906" s="10"/>
    </row>
    <row r="907">
      <c r="F907" s="10"/>
      <c r="G907" s="10"/>
      <c r="N907" s="10"/>
    </row>
    <row r="908">
      <c r="F908" s="10"/>
      <c r="G908" s="10"/>
      <c r="N908" s="10"/>
    </row>
    <row r="909">
      <c r="F909" s="10"/>
      <c r="G909" s="10"/>
      <c r="N909" s="10"/>
    </row>
    <row r="910">
      <c r="F910" s="10"/>
      <c r="G910" s="10"/>
      <c r="N910" s="10"/>
    </row>
    <row r="911">
      <c r="F911" s="10"/>
      <c r="G911" s="10"/>
      <c r="N911" s="10"/>
    </row>
    <row r="912">
      <c r="F912" s="10"/>
      <c r="G912" s="10"/>
      <c r="N912" s="10"/>
    </row>
    <row r="913">
      <c r="F913" s="10"/>
      <c r="G913" s="10"/>
      <c r="N913" s="10"/>
    </row>
    <row r="914">
      <c r="F914" s="10"/>
      <c r="G914" s="10"/>
      <c r="N914" s="10"/>
    </row>
    <row r="915">
      <c r="F915" s="10"/>
      <c r="G915" s="10"/>
      <c r="N915" s="10"/>
    </row>
    <row r="916">
      <c r="F916" s="10"/>
      <c r="G916" s="10"/>
      <c r="N916" s="10"/>
    </row>
    <row r="917">
      <c r="F917" s="10"/>
      <c r="G917" s="10"/>
      <c r="N917" s="10"/>
    </row>
    <row r="918">
      <c r="F918" s="10"/>
      <c r="G918" s="10"/>
      <c r="N918" s="10"/>
    </row>
    <row r="919">
      <c r="F919" s="10"/>
      <c r="G919" s="10"/>
      <c r="N919" s="10"/>
    </row>
    <row r="920">
      <c r="F920" s="10"/>
      <c r="G920" s="10"/>
      <c r="N920" s="10"/>
    </row>
    <row r="921">
      <c r="F921" s="10"/>
      <c r="G921" s="10"/>
      <c r="N921" s="10"/>
    </row>
    <row r="922">
      <c r="F922" s="10"/>
      <c r="G922" s="10"/>
      <c r="N922" s="10"/>
    </row>
    <row r="923">
      <c r="F923" s="10"/>
      <c r="G923" s="10"/>
      <c r="N923" s="10"/>
    </row>
    <row r="924">
      <c r="F924" s="10"/>
      <c r="G924" s="10"/>
      <c r="N924" s="10"/>
    </row>
    <row r="925">
      <c r="F925" s="10"/>
      <c r="G925" s="10"/>
      <c r="N925" s="10"/>
    </row>
    <row r="926">
      <c r="F926" s="10"/>
      <c r="G926" s="10"/>
      <c r="N926" s="10"/>
    </row>
    <row r="927">
      <c r="F927" s="10"/>
      <c r="G927" s="10"/>
      <c r="N927" s="10"/>
    </row>
    <row r="928">
      <c r="F928" s="10"/>
      <c r="G928" s="10"/>
      <c r="N928" s="10"/>
    </row>
    <row r="929">
      <c r="F929" s="10"/>
      <c r="G929" s="10"/>
      <c r="N929" s="10"/>
    </row>
    <row r="930">
      <c r="F930" s="10"/>
      <c r="G930" s="10"/>
      <c r="N930" s="10"/>
    </row>
    <row r="931">
      <c r="F931" s="10"/>
      <c r="G931" s="10"/>
      <c r="N931" s="10"/>
    </row>
    <row r="932">
      <c r="F932" s="10"/>
      <c r="G932" s="10"/>
      <c r="N932" s="10"/>
    </row>
    <row r="933">
      <c r="F933" s="10"/>
      <c r="G933" s="10"/>
      <c r="N933" s="10"/>
    </row>
    <row r="934">
      <c r="F934" s="10"/>
      <c r="G934" s="10"/>
      <c r="N934" s="10"/>
    </row>
    <row r="935">
      <c r="F935" s="10"/>
      <c r="G935" s="10"/>
      <c r="N935" s="10"/>
    </row>
    <row r="936">
      <c r="F936" s="10"/>
      <c r="G936" s="10"/>
      <c r="N936" s="10"/>
    </row>
    <row r="937">
      <c r="F937" s="10"/>
      <c r="G937" s="10"/>
      <c r="N937" s="10"/>
    </row>
    <row r="938">
      <c r="F938" s="10"/>
      <c r="G938" s="10"/>
      <c r="N938" s="10"/>
    </row>
    <row r="939">
      <c r="F939" s="10"/>
      <c r="G939" s="10"/>
      <c r="N939" s="10"/>
    </row>
    <row r="940">
      <c r="F940" s="10"/>
      <c r="G940" s="10"/>
      <c r="N940" s="10"/>
    </row>
    <row r="941">
      <c r="F941" s="10"/>
      <c r="G941" s="10"/>
      <c r="N941" s="10"/>
    </row>
    <row r="942">
      <c r="F942" s="10"/>
      <c r="G942" s="10"/>
      <c r="N942" s="10"/>
    </row>
    <row r="943">
      <c r="F943" s="10"/>
      <c r="G943" s="10"/>
      <c r="N943" s="10"/>
    </row>
    <row r="944">
      <c r="F944" s="10"/>
      <c r="G944" s="10"/>
      <c r="N944" s="10"/>
    </row>
    <row r="945">
      <c r="F945" s="10"/>
      <c r="G945" s="10"/>
      <c r="N945" s="10"/>
    </row>
    <row r="946">
      <c r="F946" s="10"/>
      <c r="G946" s="10"/>
      <c r="N946" s="10"/>
    </row>
    <row r="947">
      <c r="F947" s="10"/>
      <c r="G947" s="10"/>
      <c r="N947" s="10"/>
    </row>
    <row r="948">
      <c r="F948" s="10"/>
      <c r="G948" s="10"/>
      <c r="N948" s="10"/>
    </row>
    <row r="949">
      <c r="F949" s="10"/>
      <c r="G949" s="10"/>
      <c r="N949" s="10"/>
    </row>
    <row r="950">
      <c r="F950" s="10"/>
      <c r="G950" s="10"/>
      <c r="N950" s="10"/>
    </row>
    <row r="951">
      <c r="F951" s="10"/>
      <c r="G951" s="10"/>
      <c r="N951" s="10"/>
    </row>
    <row r="952">
      <c r="F952" s="10"/>
      <c r="G952" s="10"/>
      <c r="N952" s="10"/>
    </row>
    <row r="953">
      <c r="F953" s="10"/>
      <c r="G953" s="10"/>
      <c r="N953" s="10"/>
    </row>
    <row r="954">
      <c r="F954" s="10"/>
      <c r="G954" s="10"/>
      <c r="N954" s="10"/>
    </row>
    <row r="955">
      <c r="F955" s="10"/>
      <c r="G955" s="10"/>
      <c r="N955" s="10"/>
    </row>
    <row r="956">
      <c r="F956" s="10"/>
      <c r="G956" s="10"/>
      <c r="N956" s="10"/>
    </row>
    <row r="957">
      <c r="F957" s="10"/>
      <c r="G957" s="10"/>
      <c r="N957" s="10"/>
    </row>
    <row r="958">
      <c r="F958" s="10"/>
      <c r="G958" s="10"/>
      <c r="N958" s="10"/>
    </row>
    <row r="959">
      <c r="F959" s="10"/>
      <c r="G959" s="10"/>
      <c r="N959" s="10"/>
    </row>
    <row r="960">
      <c r="F960" s="10"/>
      <c r="G960" s="10"/>
      <c r="N960" s="10"/>
    </row>
    <row r="961">
      <c r="F961" s="10"/>
      <c r="G961" s="10"/>
      <c r="N961" s="10"/>
    </row>
    <row r="962">
      <c r="F962" s="10"/>
      <c r="G962" s="10"/>
      <c r="N962" s="10"/>
    </row>
    <row r="963">
      <c r="F963" s="10"/>
      <c r="G963" s="10"/>
      <c r="N963" s="10"/>
    </row>
    <row r="964">
      <c r="F964" s="10"/>
      <c r="G964" s="10"/>
      <c r="N964" s="10"/>
    </row>
    <row r="965">
      <c r="F965" s="10"/>
      <c r="G965" s="10"/>
      <c r="N965" s="10"/>
    </row>
    <row r="966">
      <c r="F966" s="10"/>
      <c r="G966" s="10"/>
      <c r="N966" s="10"/>
    </row>
    <row r="967">
      <c r="F967" s="10"/>
      <c r="G967" s="10"/>
      <c r="N967" s="10"/>
    </row>
    <row r="968">
      <c r="F968" s="10"/>
      <c r="G968" s="10"/>
      <c r="N968" s="10"/>
    </row>
    <row r="969">
      <c r="F969" s="10"/>
      <c r="G969" s="10"/>
      <c r="N969" s="10"/>
    </row>
    <row r="970">
      <c r="F970" s="10"/>
      <c r="G970" s="10"/>
      <c r="N970" s="10"/>
    </row>
    <row r="971">
      <c r="F971" s="10"/>
      <c r="G971" s="10"/>
      <c r="N971" s="10"/>
    </row>
    <row r="972">
      <c r="F972" s="10"/>
      <c r="G972" s="10"/>
      <c r="N972" s="10"/>
    </row>
    <row r="973">
      <c r="F973" s="10"/>
      <c r="G973" s="10"/>
      <c r="N973" s="10"/>
    </row>
    <row r="974">
      <c r="F974" s="10"/>
      <c r="G974" s="10"/>
      <c r="N974" s="10"/>
    </row>
    <row r="975">
      <c r="F975" s="10"/>
      <c r="G975" s="10"/>
      <c r="N975" s="10"/>
    </row>
    <row r="976">
      <c r="F976" s="10"/>
      <c r="G976" s="10"/>
      <c r="N976" s="10"/>
    </row>
    <row r="977">
      <c r="F977" s="10"/>
      <c r="G977" s="10"/>
      <c r="N977" s="10"/>
    </row>
    <row r="978">
      <c r="F978" s="10"/>
      <c r="G978" s="10"/>
      <c r="N978" s="10"/>
    </row>
    <row r="979">
      <c r="F979" s="10"/>
      <c r="G979" s="10"/>
      <c r="N979" s="10"/>
    </row>
    <row r="980">
      <c r="F980" s="10"/>
      <c r="G980" s="10"/>
      <c r="N980" s="10"/>
    </row>
    <row r="981">
      <c r="F981" s="10"/>
      <c r="G981" s="10"/>
      <c r="N981" s="10"/>
    </row>
    <row r="982">
      <c r="F982" s="10"/>
      <c r="G982" s="10"/>
      <c r="N982" s="10"/>
    </row>
    <row r="983">
      <c r="F983" s="10"/>
      <c r="G983" s="10"/>
      <c r="N983" s="10"/>
    </row>
    <row r="984">
      <c r="F984" s="10"/>
      <c r="G984" s="10"/>
      <c r="N984" s="10"/>
    </row>
    <row r="985">
      <c r="F985" s="10"/>
      <c r="G985" s="10"/>
      <c r="N985" s="10"/>
    </row>
    <row r="986">
      <c r="F986" s="10"/>
      <c r="G986" s="10"/>
      <c r="N986" s="10"/>
    </row>
    <row r="987">
      <c r="F987" s="10"/>
      <c r="G987" s="10"/>
      <c r="N987" s="10"/>
    </row>
    <row r="988">
      <c r="F988" s="10"/>
      <c r="G988" s="10"/>
      <c r="N988" s="10"/>
    </row>
    <row r="989">
      <c r="F989" s="10"/>
      <c r="G989" s="10"/>
      <c r="N989" s="10"/>
    </row>
    <row r="990">
      <c r="F990" s="10"/>
      <c r="G990" s="10"/>
      <c r="N990" s="10"/>
    </row>
    <row r="991">
      <c r="F991" s="10"/>
      <c r="G991" s="10"/>
      <c r="N991" s="10"/>
    </row>
    <row r="992">
      <c r="F992" s="10"/>
      <c r="G992" s="10"/>
      <c r="N992" s="10"/>
    </row>
    <row r="993">
      <c r="F993" s="10"/>
      <c r="G993" s="10"/>
      <c r="N993" s="10"/>
    </row>
    <row r="994">
      <c r="F994" s="10"/>
      <c r="G994" s="10"/>
      <c r="N994" s="10"/>
    </row>
    <row r="995">
      <c r="F995" s="10"/>
      <c r="G995" s="10"/>
      <c r="N995" s="10"/>
    </row>
    <row r="996">
      <c r="F996" s="10"/>
      <c r="G996" s="10"/>
      <c r="N996" s="10"/>
    </row>
    <row r="997">
      <c r="F997" s="10"/>
      <c r="G997" s="10"/>
      <c r="N997" s="10"/>
    </row>
    <row r="998">
      <c r="F998" s="10"/>
      <c r="G998" s="10"/>
      <c r="N998" s="10"/>
    </row>
    <row r="999">
      <c r="F999" s="10"/>
      <c r="G999" s="10"/>
      <c r="N999" s="10"/>
    </row>
    <row r="1000">
      <c r="F1000" s="10"/>
      <c r="G1000" s="10"/>
      <c r="N1000" s="10"/>
    </row>
  </sheetData>
  <drawing r:id="rId1"/>
</worksheet>
</file>